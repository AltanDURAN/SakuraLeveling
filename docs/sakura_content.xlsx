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📋 Sommaire" sheetId="1" state="visible" r:id="rId1"/>
    <sheet name="🎽 Équipements" sheetId="2" state="visible" r:id="rId2"/>
    <sheet name="👹 Mobs" sheetId="3" state="visible" r:id="rId3"/>
    <sheet name="🧪 Consommables" sheetId="4" state="visible" r:id="rId4"/>
    <sheet name="📦 Ressources" sheetId="5" state="visible" r:id="rId5"/>
    <sheet name="🏪 Shop" sheetId="6" state="visible" r:id="rId6"/>
    <sheet name="🌳 Skill Tree" sheetId="7" state="visible" r:id="rId7"/>
    <sheet name="🏷️ Titres" sheetId="8" state="visible" r:id="rId8"/>
    <sheet name="🐉 World Bosses" sheetId="9" state="visible" r:id="rId9"/>
    <sheet name="⚙️ Calibrage" sheetId="10" state="visible" r:id="rId10"/>
  </sheets>
  <definedNames>
    <definedName name="_xlnm._FilterDatabase" localSheetId="1" hidden="1">'🎽 Équipements'!$A$1:$T$51</definedName>
    <definedName name="_xlnm._FilterDatabase" localSheetId="2" hidden="1">'👹 Mobs'!$A$1:$S$51</definedName>
    <definedName name="_xlnm._FilterDatabase" localSheetId="3" hidden="1">'🧪 Consommables'!$A$1:$H$2</definedName>
    <definedName name="_xlnm._FilterDatabase" localSheetId="4" hidden="1">'📦 Ressources'!$A$1:$H$9</definedName>
    <definedName name="_xlnm._FilterDatabase" localSheetId="5" hidden="1">'🏪 Shop'!$A$1:$H$2</definedName>
    <definedName name="_xlnm._FilterDatabase" localSheetId="6" hidden="1">'🌳 Skill Tree'!$A$1:$M$87</definedName>
    <definedName name="_xlnm._FilterDatabase" localSheetId="7" hidden="1">'🏷️ Titres'!$A$1:$H$29</definedName>
    <definedName name="_xlnm._FilterDatabase" localSheetId="8" hidden="1">'🐉 World Bosses'!$A$1:$M$6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AD1457"/>
      <sz val="15"/>
    </font>
    <font>
      <b val="1"/>
    </font>
    <font>
      <b val="1"/>
      <color rgb="00FFFFFF"/>
      <sz val="11"/>
    </font>
    <font>
      <b val="1"/>
      <color rgb="00AD1457"/>
      <sz val="18"/>
    </font>
    <font>
      <i val="1"/>
      <color rgb="00888888"/>
    </font>
    <font>
      <b val="1"/>
      <color rgb="00AD1457"/>
      <sz val="13"/>
    </font>
  </fonts>
  <fills count="5">
    <fill>
      <patternFill/>
    </fill>
    <fill>
      <patternFill patternType="gray125"/>
    </fill>
    <fill>
      <patternFill patternType="solid">
        <fgColor rgb="00AD1457"/>
      </patternFill>
    </fill>
    <fill>
      <patternFill patternType="solid">
        <fgColor rgb="00ECEFF1"/>
      </patternFill>
    </fill>
    <fill>
      <patternFill patternType="solid">
        <fgColor rgb="00FCE4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6" fillId="0" borderId="0" pivotButton="0" quotePrefix="0" xfId="0"/>
    <xf numFmtId="0" fontId="0" fillId="4" borderId="0" pivotButton="0" quotePrefix="0" xfId="0"/>
    <xf numFmtId="0" fontId="2" fillId="3" borderId="0" pivotButton="0" quotePrefix="0" xfId="0"/>
    <xf numFmtId="0" fontId="0" fillId="4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pivotButton="0" quotePrefix="0" xfId="0"/>
    <xf numFmtId="0" fontId="3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90" customWidth="1" min="2" max="2"/>
  </cols>
  <sheetData>
    <row r="1">
      <c r="A1" s="1" t="inlineStr">
        <is>
          <t>🌸 SakuraLeveling V2 — Contenu du jeu</t>
        </is>
      </c>
    </row>
    <row r="2">
      <c r="A2" s="2" t="inlineStr">
        <is>
          <t>Généré le 2026-10-25 16:07 UTC</t>
        </is>
      </c>
    </row>
    <row r="4" ht="22" customHeight="1">
      <c r="A4" s="3" t="inlineStr">
        <is>
          <t>Feuille</t>
        </is>
      </c>
      <c r="B4" s="3" t="inlineStr">
        <is>
          <t>Contenu</t>
        </is>
      </c>
    </row>
    <row r="5">
      <c r="A5" t="inlineStr">
        <is>
          <t>🎽 Équipements</t>
        </is>
      </c>
      <c r="B5" t="inlineStr">
        <is>
          <t>Les 23 pièces (stats du COMMUN), le monstre qui la porte et son passif. Power calculé au niveau 30.</t>
        </is>
      </c>
    </row>
    <row r="6">
      <c r="A6" t="inlineStr">
        <is>
          <t>👹 Mobs</t>
        </is>
      </c>
      <c r="B6" t="inlineStr">
        <is>
          <t>Monstres : stats, drops, Power &amp; Rang calculés en direct.</t>
        </is>
      </c>
    </row>
    <row r="7">
      <c r="A7" t="inlineStr">
        <is>
          <t>🧪 Consommables / 📦 Ressources</t>
        </is>
      </c>
      <c r="B7" t="inlineStr">
        <is>
          <t>Potions et ressources de craft.</t>
        </is>
      </c>
    </row>
    <row r="8">
      <c r="A8" t="inlineStr">
        <is>
          <t>🏪 Shop</t>
        </is>
      </c>
      <c r="B8" t="inlineStr">
        <is>
          <t>Prix d'achat / vente du shop.</t>
        </is>
      </c>
    </row>
    <row r="9">
      <c r="A9" t="inlineStr">
        <is>
          <t>🌳 Skill Tree</t>
        </is>
      </c>
      <c r="B9" t="inlineStr">
        <is>
          <t>Tous les nœuds de l'arbre.</t>
        </is>
      </c>
    </row>
    <row r="10">
      <c r="A10" t="inlineStr">
        <is>
          <t>🏷️ Titres</t>
        </is>
      </c>
      <c r="B10" t="inlineStr">
        <is>
          <t>Titres, conditions et effets.</t>
        </is>
      </c>
    </row>
    <row r="11">
      <c r="A11" t="inlineStr">
        <is>
          <t>🐉 World Bosses</t>
        </is>
      </c>
      <c r="B11" t="inlineStr">
        <is>
          <t>Bosses + modifiers.</t>
        </is>
      </c>
    </row>
    <row r="12">
      <c r="A12" t="inlineStr">
        <is>
          <t>⚙️ Calibrage</t>
        </is>
      </c>
      <c r="B12" t="inlineStr">
        <is>
          <t>Constantes du score de puissance. NE PAS supprimer.</t>
        </is>
      </c>
    </row>
    <row r="14">
      <c r="A14" s="4" t="inlineStr">
        <is>
          <t>🛠️ Comment équilibrer (round-trip)</t>
        </is>
      </c>
    </row>
    <row r="15">
      <c r="A15" t="inlineStr">
        <is>
          <t>1. Filtre : clique la flèche d'un en-tête (ex : colonne Type = « Casque », ou Panoplie = « gobelin »).</t>
        </is>
      </c>
    </row>
    <row r="16">
      <c r="A16" t="inlineStr">
        <is>
          <t>2. Édite les colonnes de stats (Atk, Def, PV, Crit %, Crit dmg, Esquive, Vitesse, Regen), le Prix, la Rareté, le Slot, la Panoplie, le Nom…</t>
        </is>
      </c>
    </row>
    <row r="17">
      <c r="A17" t="inlineStr">
        <is>
          <t>3. La colonne « Power » (fond gris) est AUTO-CALCULÉE — ne l'édite pas, elle se met à jour toute seule quand tu changes une stat.</t>
        </is>
      </c>
    </row>
    <row r="18">
      <c r="A18" t="inlineStr">
        <is>
          <t>4. Tu peux AJOUTER une ligne d'équipement : remplis au moins Code + Type. Tu peux en supprimer aussi.</t>
        </is>
      </c>
    </row>
    <row r="19">
      <c r="A19" t="inlineStr">
        <is>
          <t>5. Renvoie-moi le fichier .xlsx modifié → je réapplique via scripts/import_content_spreadsheet.py (puis seed + déploiement).</t>
        </is>
      </c>
    </row>
    <row r="20">
      <c r="A20" t="inlineStr"/>
    </row>
    <row r="21">
      <c r="A21" t="inlineStr">
        <is>
          <t>Conventions stats : crit_chance &amp; esquive en 0..100 ; crit_damage 100 = neutre, 150 = ×1,5 ; défense soustractive (1 DEF ≈ 25 PV effectifs).</t>
        </is>
      </c>
    </row>
    <row r="22">
      <c r="A22" t="inlineStr">
        <is>
          <t>Power d'un équipement = puissance MARGINALE qu'il ajoute à un perso de base (power(base+item) − power(base)).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9" customWidth="1" min="1" max="1"/>
    <col width="29" customWidth="1" min="2" max="2"/>
    <col width="12" customWidth="1" min="3" max="3"/>
    <col width="12" customWidth="1" min="4" max="4"/>
    <col width="24" customWidth="1" min="5" max="5"/>
    <col width="4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9" customWidth="1" min="19" max="19"/>
    <col width="48" customWidth="1" min="20" max="20"/>
  </cols>
  <sheetData>
    <row r="1" ht="22" customHeight="1">
      <c r="A1" s="3" t="inlineStr">
        <is>
          <t>Code</t>
        </is>
      </c>
      <c r="B1" s="3" t="inlineStr">
        <is>
          <t>Nom</t>
        </is>
      </c>
      <c r="C1" s="3" t="inlineStr">
        <is>
          <t>Type</t>
        </is>
      </c>
      <c r="D1" s="3" t="inlineStr">
        <is>
          <t>Slot</t>
        </is>
      </c>
      <c r="E1" s="3" t="inlineStr">
        <is>
          <t>Porté par</t>
        </is>
      </c>
      <c r="F1" s="3" t="inlineStr">
        <is>
          <t>Passif (dès épique)</t>
        </is>
      </c>
      <c r="G1" s="3" t="inlineStr">
        <is>
          <t>Panoplie</t>
        </is>
      </c>
      <c r="H1" s="3" t="inlineStr">
        <is>
          <t>2-mains</t>
        </is>
      </c>
      <c r="I1" s="3" t="inlineStr">
        <is>
          <t>Atk %</t>
        </is>
      </c>
      <c r="J1" s="3" t="inlineStr">
        <is>
          <t>Def %</t>
        </is>
      </c>
      <c r="K1" s="3" t="inlineStr">
        <is>
          <t>PV %</t>
        </is>
      </c>
      <c r="L1" s="3" t="inlineStr">
        <is>
          <t>Crit %</t>
        </is>
      </c>
      <c r="M1" s="3" t="inlineStr">
        <is>
          <t>Crit dmg</t>
        </is>
      </c>
      <c r="N1" s="3" t="inlineStr">
        <is>
          <t>Esquive</t>
        </is>
      </c>
      <c r="O1" s="3" t="inlineStr">
        <is>
          <t>Vitesse</t>
        </is>
      </c>
      <c r="P1" s="3" t="inlineStr">
        <is>
          <t>Regen</t>
        </is>
      </c>
      <c r="Q1" s="3" t="inlineStr">
        <is>
          <t>Mana max</t>
        </is>
      </c>
      <c r="R1" s="3" t="inlineStr">
        <is>
          <t>Regen mana</t>
        </is>
      </c>
      <c r="S1" s="3" t="inlineStr">
        <is>
          <t>Power</t>
        </is>
      </c>
      <c r="T1" s="3" t="inlineStr">
        <is>
          <t>Description</t>
        </is>
      </c>
    </row>
    <row r="2">
      <c r="A2" s="5" t="inlineStr">
        <is>
          <t>baton_du_crane_totem</t>
        </is>
      </c>
      <c r="B2" s="5" t="inlineStr">
        <is>
          <t>Bâton du crâne-totem</t>
        </is>
      </c>
      <c r="C2" s="5" t="inlineStr">
        <is>
          <t>Arme</t>
        </is>
      </c>
      <c r="D2" s="5" t="inlineStr">
        <is>
          <t>arme</t>
        </is>
      </c>
      <c r="E2" s="5" t="inlineStr">
        <is>
          <t>Gobelin Chaman</t>
        </is>
      </c>
      <c r="F2" s="5" t="inlineStr">
        <is>
          <t>Mains guérisseuses — Tes soins donnés sont augmentés de 10 %, et 10 % des soins que tu donnes à un allié frappent aussi l'ennemi.</t>
        </is>
      </c>
      <c r="G2" s="5" t="inlineStr"/>
      <c r="H2" s="5" t="inlineStr">
        <is>
          <t>non</t>
        </is>
      </c>
      <c r="I2" s="5" t="n">
        <v>8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5" t="n">
        <v>15</v>
      </c>
      <c r="R2" s="5" t="n">
        <v>0</v>
      </c>
      <c r="S2" s="6" t="n">
        <v>60</v>
      </c>
      <c r="T2" s="5" t="inlineStr">
        <is>
          <t>Le crâne au sommet murmure encore des incantations.</t>
        </is>
      </c>
    </row>
    <row r="3">
      <c r="A3" t="inlineStr">
        <is>
          <t>fendoir_d_orage</t>
        </is>
      </c>
      <c r="B3" t="inlineStr">
        <is>
          <t>Fendoir d'orage</t>
        </is>
      </c>
      <c r="C3" t="inlineStr">
        <is>
          <t>Arme</t>
        </is>
      </c>
      <c r="D3" t="inlineStr">
        <is>
          <t>arme</t>
        </is>
      </c>
      <c r="E3" t="inlineStr">
        <is>
          <t>Ogre démoniaque</t>
        </is>
      </c>
      <c r="F3" t="inlineStr">
        <is>
          <t>Tueur de boss — +15 % de dégâts contre les boss.</t>
        </is>
      </c>
      <c r="G3" t="inlineStr"/>
      <c r="H3" t="inlineStr">
        <is>
          <t>non</t>
        </is>
      </c>
      <c r="I3" t="n">
        <v>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s="6" t="n">
        <v>69</v>
      </c>
      <c r="T3" t="inlineStr">
        <is>
          <t>La foudre court le long du tranchant.</t>
        </is>
      </c>
    </row>
    <row r="4">
      <c r="A4" s="5" t="inlineStr">
        <is>
          <t>griffes_de_goule</t>
        </is>
      </c>
      <c r="B4" s="5" t="inlineStr">
        <is>
          <t>Griffes de goule</t>
        </is>
      </c>
      <c r="C4" s="5" t="inlineStr">
        <is>
          <t>Arme</t>
        </is>
      </c>
      <c r="D4" s="5" t="inlineStr">
        <is>
          <t>arme</t>
        </is>
      </c>
      <c r="E4" s="5" t="inlineStr">
        <is>
          <t>Goule</t>
        </is>
      </c>
      <c r="F4" s="5" t="inlineStr">
        <is>
          <t>—</t>
        </is>
      </c>
      <c r="G4" s="5" t="inlineStr"/>
      <c r="H4" s="5" t="inlineStr">
        <is>
          <t>non</t>
        </is>
      </c>
      <c r="I4" s="5" t="n">
        <v>8</v>
      </c>
      <c r="J4" s="5" t="n">
        <v>0</v>
      </c>
      <c r="K4" s="5" t="n">
        <v>0</v>
      </c>
      <c r="L4" s="5" t="n">
        <v>2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6" t="n">
        <v>69</v>
      </c>
      <c r="T4" s="5" t="inlineStr">
        <is>
          <t>Des griffes jaunies montées sur un gantelet.</t>
        </is>
      </c>
    </row>
    <row r="5">
      <c r="A5" t="inlineStr">
        <is>
          <t>lance_des_kobolds</t>
        </is>
      </c>
      <c r="B5" t="inlineStr">
        <is>
          <t>Lance des kobolds</t>
        </is>
      </c>
      <c r="C5" t="inlineStr">
        <is>
          <t>Arme</t>
        </is>
      </c>
      <c r="D5" t="inlineStr">
        <is>
          <t>arme</t>
        </is>
      </c>
      <c r="E5" t="inlineStr">
        <is>
          <t>Kobold</t>
        </is>
      </c>
      <c r="F5" t="inlineStr">
        <is>
          <t>—</t>
        </is>
      </c>
      <c r="G5" t="inlineStr"/>
      <c r="H5" t="inlineStr">
        <is>
          <t>oui</t>
        </is>
      </c>
      <c r="I5" t="n">
        <v>20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-1</v>
      </c>
      <c r="P5" t="n">
        <v>0</v>
      </c>
      <c r="Q5" t="n">
        <v>0</v>
      </c>
      <c r="R5" t="n">
        <v>0</v>
      </c>
      <c r="S5" s="6" t="n">
        <v>141</v>
      </c>
      <c r="T5" t="inlineStr">
        <is>
          <t>Une longue lance à crochets, faite pour tenir les dragons à distance.</t>
        </is>
      </c>
    </row>
    <row r="6">
      <c r="A6" s="5" t="inlineStr">
        <is>
          <t>massue_du_chef_de_guerre</t>
        </is>
      </c>
      <c r="B6" s="5" t="inlineStr">
        <is>
          <t>Massue du chef de guerre</t>
        </is>
      </c>
      <c r="C6" s="5" t="inlineStr">
        <is>
          <t>Arme</t>
        </is>
      </c>
      <c r="D6" s="5" t="inlineStr">
        <is>
          <t>arme</t>
        </is>
      </c>
      <c r="E6" s="5" t="inlineStr">
        <is>
          <t>Gobelin Supérieur</t>
        </is>
      </c>
      <c r="F6" s="5" t="inlineStr">
        <is>
          <t>Fureur montante — Chaque attaque augmente ton attaque de 1 % pour le combat (max +20 %).</t>
        </is>
      </c>
      <c r="G6" s="5" t="inlineStr"/>
      <c r="H6" s="5" t="inlineStr">
        <is>
          <t>non</t>
        </is>
      </c>
      <c r="I6" s="5" t="n">
        <v>8</v>
      </c>
      <c r="J6" s="5" t="n">
        <v>0</v>
      </c>
      <c r="K6" s="5" t="n">
        <v>0</v>
      </c>
      <c r="L6" s="5" t="n">
        <v>0</v>
      </c>
      <c r="M6" s="5" t="n">
        <v>8</v>
      </c>
      <c r="N6" s="5" t="n">
        <v>0</v>
      </c>
      <c r="O6" s="5" t="n">
        <v>0</v>
      </c>
      <c r="P6" s="5" t="n">
        <v>0</v>
      </c>
      <c r="Q6" s="5" t="n">
        <v>0</v>
      </c>
      <c r="R6" s="5" t="n">
        <v>0</v>
      </c>
      <c r="S6" s="6" t="n">
        <v>64</v>
      </c>
      <c r="T6" s="5" t="inlineStr">
        <is>
          <t>Chaque pointe porte le nom d'un ennemi tombé.</t>
        </is>
      </c>
    </row>
    <row r="7">
      <c r="A7" t="inlineStr">
        <is>
          <t>rapiere_ecarlate</t>
        </is>
      </c>
      <c r="B7" t="inlineStr">
        <is>
          <t>Rapière écarlate</t>
        </is>
      </c>
      <c r="C7" t="inlineStr">
        <is>
          <t>Arme</t>
        </is>
      </c>
      <c r="D7" t="inlineStr">
        <is>
          <t>arme</t>
        </is>
      </c>
      <c r="E7" t="inlineStr">
        <is>
          <t>Vampire noble</t>
        </is>
      </c>
      <c r="F7" t="inlineStr">
        <is>
          <t>—</t>
        </is>
      </c>
      <c r="G7" t="inlineStr"/>
      <c r="H7" t="inlineStr">
        <is>
          <t>non</t>
        </is>
      </c>
      <c r="I7" t="n">
        <v>8</v>
      </c>
      <c r="J7" t="n">
        <v>0</v>
      </c>
      <c r="K7" t="n">
        <v>0</v>
      </c>
      <c r="L7" t="n">
        <v>0</v>
      </c>
      <c r="M7" t="n">
        <v>6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s="6" t="n">
        <v>63</v>
      </c>
      <c r="T7" t="inlineStr">
        <is>
          <t>Fine, rapide, et toujours rouge.</t>
        </is>
      </c>
    </row>
    <row r="8">
      <c r="A8" s="5" t="inlineStr">
        <is>
          <t>surin_dentele</t>
        </is>
      </c>
      <c r="B8" s="5" t="inlineStr">
        <is>
          <t>Surin dentelé</t>
        </is>
      </c>
      <c r="C8" s="5" t="inlineStr">
        <is>
          <t>Arme</t>
        </is>
      </c>
      <c r="D8" s="5" t="inlineStr">
        <is>
          <t>arme</t>
        </is>
      </c>
      <c r="E8" s="5" t="inlineStr">
        <is>
          <t>Gobelin</t>
        </is>
      </c>
      <c r="F8" s="5" t="inlineStr">
        <is>
          <t>Frappe d'ouverture — Ta première attaque est forcément critique ; si elle l'était déjà, c'est un super-critique (les deux critiques se cumulent).</t>
        </is>
      </c>
      <c r="G8" s="5" t="inlineStr"/>
      <c r="H8" s="5" t="inlineStr">
        <is>
          <t>non</t>
        </is>
      </c>
      <c r="I8" s="5" t="n">
        <v>8</v>
      </c>
      <c r="J8" s="5" t="n">
        <v>0</v>
      </c>
      <c r="K8" s="5" t="n">
        <v>0</v>
      </c>
      <c r="L8" s="5" t="n">
        <v>3</v>
      </c>
      <c r="M8" s="5" t="n">
        <v>0</v>
      </c>
      <c r="N8" s="5" t="n">
        <v>0</v>
      </c>
      <c r="O8" s="5" t="n">
        <v>0</v>
      </c>
      <c r="P8" s="5" t="n">
        <v>0</v>
      </c>
      <c r="Q8" s="5" t="n">
        <v>0</v>
      </c>
      <c r="R8" s="5" t="n">
        <v>0</v>
      </c>
      <c r="S8" s="6" t="n">
        <v>74</v>
      </c>
      <c r="T8" s="5" t="inlineStr">
        <is>
          <t>Une lame courbe ébréchée, plus rapide que la pensée d'un gobelin.</t>
        </is>
      </c>
    </row>
    <row r="9">
      <c r="A9" t="inlineStr">
        <is>
          <t>trident_ricaneur</t>
        </is>
      </c>
      <c r="B9" t="inlineStr">
        <is>
          <t>Trident ricaneur</t>
        </is>
      </c>
      <c r="C9" t="inlineStr">
        <is>
          <t>Arme</t>
        </is>
      </c>
      <c r="D9" t="inlineStr">
        <is>
          <t>arme</t>
        </is>
      </c>
      <c r="E9" t="inlineStr">
        <is>
          <t>Diablotin</t>
        </is>
      </c>
      <c r="F9" t="inlineStr">
        <is>
          <t>Coup double — 10 % de chance d'attaquer deux fois d'affilée.</t>
        </is>
      </c>
      <c r="G9" t="inlineStr"/>
      <c r="H9" t="inlineStr">
        <is>
          <t>non</t>
        </is>
      </c>
      <c r="I9" t="n">
        <v>8</v>
      </c>
      <c r="J9" t="n">
        <v>0</v>
      </c>
      <c r="K9" t="n">
        <v>0</v>
      </c>
      <c r="L9" t="n">
        <v>0</v>
      </c>
      <c r="M9" t="n">
        <v>6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s="6" t="n">
        <v>63</v>
      </c>
      <c r="T9" t="inlineStr">
        <is>
          <t>On jurerait l'entendre rire à chaque coup.</t>
        </is>
      </c>
    </row>
    <row r="10">
      <c r="A10" s="5" t="inlineStr">
        <is>
          <t>tronc_arrache</t>
        </is>
      </c>
      <c r="B10" s="5" t="inlineStr">
        <is>
          <t>Tronc arraché</t>
        </is>
      </c>
      <c r="C10" s="5" t="inlineStr">
        <is>
          <t>Arme</t>
        </is>
      </c>
      <c r="D10" s="5" t="inlineStr">
        <is>
          <t>arme</t>
        </is>
      </c>
      <c r="E10" s="5" t="inlineStr">
        <is>
          <t>Gobelin Géant</t>
        </is>
      </c>
      <c r="F10" s="5" t="inlineStr">
        <is>
          <t>Exécuteur — +20 % de dégâts contre un ennemi sous 50 % de ses PV.</t>
        </is>
      </c>
      <c r="G10" s="5" t="inlineStr"/>
      <c r="H10" s="5" t="inlineStr">
        <is>
          <t>oui</t>
        </is>
      </c>
      <c r="I10" s="5" t="n">
        <v>20</v>
      </c>
      <c r="J10" s="5" t="n">
        <v>0</v>
      </c>
      <c r="K10" s="5" t="n">
        <v>0</v>
      </c>
      <c r="L10" s="5" t="n">
        <v>0</v>
      </c>
      <c r="M10" s="5" t="n">
        <v>0</v>
      </c>
      <c r="N10" s="5" t="n">
        <v>0</v>
      </c>
      <c r="O10" s="5" t="n">
        <v>-1</v>
      </c>
      <c r="P10" s="5" t="n">
        <v>0</v>
      </c>
      <c r="Q10" s="5" t="n">
        <v>0</v>
      </c>
      <c r="R10" s="5" t="n">
        <v>0</v>
      </c>
      <c r="S10" s="6" t="n">
        <v>141</v>
      </c>
      <c r="T10" s="5" t="inlineStr">
        <is>
          <t>Un arbre entier, déraciné à mains nues.</t>
        </is>
      </c>
    </row>
    <row r="11">
      <c r="A11" t="inlineStr">
        <is>
          <t>epee_de_l_ossuaire</t>
        </is>
      </c>
      <c r="B11" t="inlineStr">
        <is>
          <t>Épée de l'ossuaire</t>
        </is>
      </c>
      <c r="C11" t="inlineStr">
        <is>
          <t>Arme</t>
        </is>
      </c>
      <c r="D11" t="inlineStr">
        <is>
          <t>arme</t>
        </is>
      </c>
      <c r="E11" t="inlineStr">
        <is>
          <t>Squelette</t>
        </is>
      </c>
      <c r="F11" t="inlineStr">
        <is>
          <t>Perce-armure — Tes coups ignorent 15 % de la défense ennemie.</t>
        </is>
      </c>
      <c r="G11" t="inlineStr"/>
      <c r="H11" t="inlineStr">
        <is>
          <t>non</t>
        </is>
      </c>
      <c r="I11" t="n">
        <v>8</v>
      </c>
      <c r="J11" t="n">
        <v>0</v>
      </c>
      <c r="K11" t="n">
        <v>0</v>
      </c>
      <c r="L11" t="n">
        <v>2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s="6" t="n">
        <v>69</v>
      </c>
      <c r="T11" t="inlineStr">
        <is>
          <t>Rouillée, mais elle trouve toujours le défaut de l'armure.</t>
        </is>
      </c>
    </row>
    <row r="12">
      <c r="A12" s="5" t="inlineStr">
        <is>
          <t>pavois_de_granit</t>
        </is>
      </c>
      <c r="B12" s="5" t="inlineStr">
        <is>
          <t>Pavois de granit</t>
        </is>
      </c>
      <c r="C12" s="5" t="inlineStr">
        <is>
          <t>Bouclier</t>
        </is>
      </c>
      <c r="D12" s="5" t="inlineStr">
        <is>
          <t>arme</t>
        </is>
      </c>
      <c r="E12" s="5" t="inlineStr">
        <is>
          <t>Gargouille</t>
        </is>
      </c>
      <c r="F12" s="5" t="inlineStr">
        <is>
          <t>Peau de pierre — Chaque coup subi augmente ta défense de 1 % pour le combat (max +20 %).</t>
        </is>
      </c>
      <c r="G12" s="5" t="inlineStr"/>
      <c r="H12" s="5" t="inlineStr">
        <is>
          <t>non</t>
        </is>
      </c>
      <c r="I12" s="5" t="n">
        <v>0</v>
      </c>
      <c r="J12" s="5" t="n">
        <v>6</v>
      </c>
      <c r="K12" s="5" t="n">
        <v>4</v>
      </c>
      <c r="L12" s="5" t="n">
        <v>0</v>
      </c>
      <c r="M12" s="5" t="n">
        <v>0</v>
      </c>
      <c r="N12" s="5" t="n">
        <v>0</v>
      </c>
      <c r="O12" s="5" t="n">
        <v>0</v>
      </c>
      <c r="P12" s="5" t="n">
        <v>0</v>
      </c>
      <c r="Q12" s="5" t="n">
        <v>0</v>
      </c>
      <c r="R12" s="5" t="n">
        <v>0</v>
      </c>
      <c r="S12" s="6" t="n">
        <v>35</v>
      </c>
      <c r="T12" s="5" t="inlineStr">
        <is>
          <t>Plus on le frappe, plus il se durcit.</t>
        </is>
      </c>
    </row>
    <row r="13">
      <c r="A13" t="inlineStr">
        <is>
          <t>ecu_de_l_eclipse</t>
        </is>
      </c>
      <c r="B13" t="inlineStr">
        <is>
          <t>Écu de l'éclipse</t>
        </is>
      </c>
      <c r="C13" t="inlineStr">
        <is>
          <t>Bouclier</t>
        </is>
      </c>
      <c r="D13" t="inlineStr">
        <is>
          <t>arme</t>
        </is>
      </c>
      <c r="E13" t="inlineStr">
        <is>
          <t>Chevalier de l'éclipse</t>
        </is>
      </c>
      <c r="F13" t="inlineStr">
        <is>
          <t>—</t>
        </is>
      </c>
      <c r="G13" t="inlineStr"/>
      <c r="H13" t="inlineStr">
        <is>
          <t>non</t>
        </is>
      </c>
      <c r="I13" t="n">
        <v>0</v>
      </c>
      <c r="J13" t="n">
        <v>6</v>
      </c>
      <c r="K13" t="n">
        <v>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s="6" t="n">
        <v>35</v>
      </c>
      <c r="T13" t="inlineStr">
        <is>
          <t>Un bouclier où le soleil ne se reflète plus.</t>
        </is>
      </c>
    </row>
    <row r="14">
      <c r="A14" s="5" t="inlineStr">
        <is>
          <t>egide_de_givre</t>
        </is>
      </c>
      <c r="B14" s="5" t="inlineStr">
        <is>
          <t>Égide de givre</t>
        </is>
      </c>
      <c r="C14" s="5" t="inlineStr">
        <is>
          <t>Bouclier</t>
        </is>
      </c>
      <c r="D14" s="5" t="inlineStr">
        <is>
          <t>arme</t>
        </is>
      </c>
      <c r="E14" s="5" t="inlineStr">
        <is>
          <t>Dragon de givre</t>
        </is>
      </c>
      <c r="F14" s="5" t="inlineStr">
        <is>
          <t>—</t>
        </is>
      </c>
      <c r="G14" s="5" t="inlineStr"/>
      <c r="H14" s="5" t="inlineStr">
        <is>
          <t>non</t>
        </is>
      </c>
      <c r="I14" s="5" t="n">
        <v>0</v>
      </c>
      <c r="J14" s="5" t="n">
        <v>6</v>
      </c>
      <c r="K14" s="5" t="n">
        <v>4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6" t="n">
        <v>35</v>
      </c>
      <c r="T14" s="5" t="inlineStr">
        <is>
          <t>Un bouclier taillé dans une écaille gelée.</t>
        </is>
      </c>
    </row>
    <row r="15">
      <c r="A15" t="inlineStr">
        <is>
          <t>egide_du_damne</t>
        </is>
      </c>
      <c r="B15" t="inlineStr">
        <is>
          <t>Égide du Damné</t>
        </is>
      </c>
      <c r="C15" t="inlineStr">
        <is>
          <t>Bouclier</t>
        </is>
      </c>
      <c r="D15" t="inlineStr">
        <is>
          <t>arme</t>
        </is>
      </c>
      <c r="E15" t="inlineStr">
        <is>
          <t>Archidémon</t>
        </is>
      </c>
      <c r="F15" t="inlineStr">
        <is>
          <t>Épines — Ton contrecoup est augmenté de 10 % (la défense qui dépasse 75 % de l'attaque adverse revient à l'attaquant en dégâts).</t>
        </is>
      </c>
      <c r="G15" t="inlineStr"/>
      <c r="H15" t="inlineStr">
        <is>
          <t>non</t>
        </is>
      </c>
      <c r="I15" t="n">
        <v>0</v>
      </c>
      <c r="J15" t="n">
        <v>6</v>
      </c>
      <c r="K15" t="n">
        <v>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s="6" t="n">
        <v>35</v>
      </c>
      <c r="T15" t="inlineStr">
        <is>
          <t>Le crâne serti mord ceux qui frappent.</t>
        </is>
      </c>
    </row>
    <row r="16">
      <c r="A16" s="5" t="inlineStr">
        <is>
          <t>capuche_de_sang</t>
        </is>
      </c>
      <c r="B16" s="5" t="inlineStr">
        <is>
          <t>Capuche de sang</t>
        </is>
      </c>
      <c r="C16" s="5" t="inlineStr">
        <is>
          <t>Tête</t>
        </is>
      </c>
      <c r="D16" s="5" t="inlineStr">
        <is>
          <t>tete</t>
        </is>
      </c>
      <c r="E16" s="5" t="inlineStr">
        <is>
          <t>Sorcière de sang</t>
        </is>
      </c>
      <c r="F16" s="5" t="inlineStr">
        <is>
          <t>—</t>
        </is>
      </c>
      <c r="G16" s="5" t="inlineStr"/>
      <c r="H16" s="5" t="inlineStr">
        <is>
          <t>non</t>
        </is>
      </c>
      <c r="I16" s="5" t="n">
        <v>0</v>
      </c>
      <c r="J16" s="5" t="n">
        <v>0</v>
      </c>
      <c r="K16" s="5" t="n">
        <v>6</v>
      </c>
      <c r="L16" s="5" t="n">
        <v>0</v>
      </c>
      <c r="M16" s="5" t="n">
        <v>0</v>
      </c>
      <c r="N16" s="5" t="n">
        <v>0</v>
      </c>
      <c r="O16" s="5" t="n">
        <v>0</v>
      </c>
      <c r="P16" s="5" t="n">
        <v>0</v>
      </c>
      <c r="Q16" s="5" t="n">
        <v>15</v>
      </c>
      <c r="R16" s="5" t="n">
        <v>0</v>
      </c>
      <c r="S16" s="6" t="n">
        <v>25</v>
      </c>
      <c r="T16" s="5" t="inlineStr">
        <is>
          <t>Le tissu ne sèche jamais tout à fait.</t>
        </is>
      </c>
    </row>
    <row r="17">
      <c r="A17" t="inlineStr">
        <is>
          <t>couronne_de_la_liche</t>
        </is>
      </c>
      <c r="B17" t="inlineStr">
        <is>
          <t>Couronne de la Liche</t>
        </is>
      </c>
      <c r="C17" t="inlineStr">
        <is>
          <t>Tête</t>
        </is>
      </c>
      <c r="D17" t="inlineStr">
        <is>
          <t>tete</t>
        </is>
      </c>
      <c r="E17" t="inlineStr">
        <is>
          <t>Liche maudite</t>
        </is>
      </c>
      <c r="F17" t="inlineStr">
        <is>
          <t>Anti-soin — Les soins de l'ennemi sont divisés par deux.</t>
        </is>
      </c>
      <c r="G17" t="inlineStr"/>
      <c r="H17" t="inlineStr">
        <is>
          <t>non</t>
        </is>
      </c>
      <c r="I17" t="n">
        <v>0</v>
      </c>
      <c r="J17" t="n">
        <v>0</v>
      </c>
      <c r="K17" t="n">
        <v>6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</v>
      </c>
      <c r="R17" t="n">
        <v>0</v>
      </c>
      <c r="S17" s="6" t="n">
        <v>25</v>
      </c>
      <c r="T17" t="inlineStr">
        <is>
          <t>Là où elle passe, rien ne guérit.</t>
        </is>
      </c>
    </row>
    <row r="18">
      <c r="A18" s="5" t="inlineStr">
        <is>
          <t>couronne_du_heraut</t>
        </is>
      </c>
      <c r="B18" s="5" t="inlineStr">
        <is>
          <t>Couronne du héraut</t>
        </is>
      </c>
      <c r="C18" s="5" t="inlineStr">
        <is>
          <t>Tête</t>
        </is>
      </c>
      <c r="D18" s="5" t="inlineStr">
        <is>
          <t>tete</t>
        </is>
      </c>
      <c r="E18" s="5" t="inlineStr">
        <is>
          <t>Héraut du vide</t>
        </is>
      </c>
      <c r="F18" s="5" t="inlineStr">
        <is>
          <t>—</t>
        </is>
      </c>
      <c r="G18" s="5" t="inlineStr"/>
      <c r="H18" s="5" t="inlineStr">
        <is>
          <t>non</t>
        </is>
      </c>
      <c r="I18" s="5" t="n">
        <v>0</v>
      </c>
      <c r="J18" s="5" t="n">
        <v>0</v>
      </c>
      <c r="K18" s="5" t="n">
        <v>6</v>
      </c>
      <c r="L18" s="5" t="n">
        <v>2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6" t="n">
        <v>34</v>
      </c>
      <c r="T18" s="5" t="inlineStr">
        <is>
          <t>Une couronne d'obsidienne qui murmure.</t>
        </is>
      </c>
    </row>
    <row r="19">
      <c r="A19" t="inlineStr">
        <is>
          <t>diademe_hurlant</t>
        </is>
      </c>
      <c r="B19" t="inlineStr">
        <is>
          <t>Diadème hurlant</t>
        </is>
      </c>
      <c r="C19" t="inlineStr">
        <is>
          <t>Tête</t>
        </is>
      </c>
      <c r="D19" t="inlineStr">
        <is>
          <t>tete</t>
        </is>
      </c>
      <c r="E19" t="inlineStr">
        <is>
          <t>Banshee</t>
        </is>
      </c>
      <c r="F19" t="inlineStr">
        <is>
          <t>Cri affaiblissant — L'attaque de l'ennemi est réduite de 5 %.</t>
        </is>
      </c>
      <c r="G19" t="inlineStr"/>
      <c r="H19" t="inlineStr">
        <is>
          <t>non</t>
        </is>
      </c>
      <c r="I19" t="n">
        <v>0</v>
      </c>
      <c r="J19" t="n">
        <v>0</v>
      </c>
      <c r="K19" t="n">
        <v>6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s="6" t="n">
        <v>34</v>
      </c>
      <c r="T19" t="inlineStr">
        <is>
          <t>Son cri glace le bras qui s'apprête à frapper.</t>
        </is>
      </c>
    </row>
    <row r="20">
      <c r="A20" s="5" t="inlineStr">
        <is>
          <t>heaume_aux_cornes</t>
        </is>
      </c>
      <c r="B20" s="5" t="inlineStr">
        <is>
          <t>Heaume aux cornes</t>
        </is>
      </c>
      <c r="C20" s="5" t="inlineStr">
        <is>
          <t>Tête</t>
        </is>
      </c>
      <c r="D20" s="5" t="inlineStr">
        <is>
          <t>tete</t>
        </is>
      </c>
      <c r="E20" s="5" t="inlineStr">
        <is>
          <t>Démon cornu</t>
        </is>
      </c>
      <c r="F20" s="5" t="inlineStr">
        <is>
          <t>Défi — Tu commences le combat en provocation, et tu subis 15 % de dégâts en moins tant qu'elle dure.</t>
        </is>
      </c>
      <c r="G20" s="5" t="inlineStr"/>
      <c r="H20" s="5" t="inlineStr">
        <is>
          <t>non</t>
        </is>
      </c>
      <c r="I20" s="5" t="n">
        <v>0</v>
      </c>
      <c r="J20" s="5" t="n">
        <v>0</v>
      </c>
      <c r="K20" s="5" t="n">
        <v>6</v>
      </c>
      <c r="L20" s="5" t="n">
        <v>2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6" t="n">
        <v>34</v>
      </c>
      <c r="T20" s="5" t="inlineStr">
        <is>
          <t>Impossible de l'ignorer sur un champ de bataille.</t>
        </is>
      </c>
    </row>
    <row r="21">
      <c r="A21" t="inlineStr">
        <is>
          <t>heaume_crete_de_wyverne</t>
        </is>
      </c>
      <c r="B21" t="inlineStr">
        <is>
          <t>Heaume-crête de wyverne</t>
        </is>
      </c>
      <c r="C21" t="inlineStr">
        <is>
          <t>Tête</t>
        </is>
      </c>
      <c r="D21" t="inlineStr">
        <is>
          <t>tete</t>
        </is>
      </c>
      <c r="E21" t="inlineStr">
        <is>
          <t>Wyverne</t>
        </is>
      </c>
      <c r="F21" t="inlineStr">
        <is>
          <t>—</t>
        </is>
      </c>
      <c r="G21" t="inlineStr"/>
      <c r="H21" t="inlineStr">
        <is>
          <t>non</t>
        </is>
      </c>
      <c r="I21" t="n">
        <v>0</v>
      </c>
      <c r="J21" t="n">
        <v>0</v>
      </c>
      <c r="K21" t="n">
        <v>6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s="6" t="n">
        <v>33</v>
      </c>
      <c r="T21" t="inlineStr">
        <is>
          <t>Un heaume léger orné d'une crête d'écailles.</t>
        </is>
      </c>
    </row>
    <row r="22">
      <c r="A22" s="5" t="inlineStr">
        <is>
          <t>ramure_d_esprit</t>
        </is>
      </c>
      <c r="B22" s="5" t="inlineStr">
        <is>
          <t>Ramure d'esprit</t>
        </is>
      </c>
      <c r="C22" s="5" t="inlineStr">
        <is>
          <t>Tête</t>
        </is>
      </c>
      <c r="D22" s="5" t="inlineStr">
        <is>
          <t>tete</t>
        </is>
      </c>
      <c r="E22" s="5" t="inlineStr">
        <is>
          <t>Cerf-esprit</t>
        </is>
      </c>
      <c r="F22" s="5" t="inlineStr">
        <is>
          <t>—</t>
        </is>
      </c>
      <c r="G22" s="5" t="inlineStr"/>
      <c r="H22" s="5" t="inlineStr">
        <is>
          <t>non</t>
        </is>
      </c>
      <c r="I22" s="5" t="n">
        <v>0</v>
      </c>
      <c r="J22" s="5" t="n">
        <v>0</v>
      </c>
      <c r="K22" s="5" t="n">
        <v>6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3</v>
      </c>
      <c r="Q22" s="5" t="n">
        <v>0</v>
      </c>
      <c r="R22" s="5" t="n">
        <v>0</v>
      </c>
      <c r="S22" s="6" t="n">
        <v>25</v>
      </c>
      <c r="T22" s="5" t="inlineStr">
        <is>
          <t>Des bois de cerf qui bourgeonnent encore.</t>
        </is>
      </c>
    </row>
    <row r="23">
      <c r="A23" t="inlineStr">
        <is>
          <t>bandelettes_embaumees</t>
        </is>
      </c>
      <c r="B23" t="inlineStr">
        <is>
          <t>Bandelettes embaumées</t>
        </is>
      </c>
      <c r="C23" t="inlineStr">
        <is>
          <t>Corps</t>
        </is>
      </c>
      <c r="D23" t="inlineStr">
        <is>
          <t>corps</t>
        </is>
      </c>
      <c r="E23" t="inlineStr">
        <is>
          <t>Momie</t>
        </is>
      </c>
      <c r="F23" t="inlineStr">
        <is>
          <t>Bandelettes protectrices — Les dégâts critiques que tu reçois sont réduits de 25 %.</t>
        </is>
      </c>
      <c r="G23" t="inlineStr"/>
      <c r="H23" t="inlineStr">
        <is>
          <t>non</t>
        </is>
      </c>
      <c r="I23" t="n">
        <v>0</v>
      </c>
      <c r="J23" t="n">
        <v>6</v>
      </c>
      <c r="K23" t="n">
        <v>6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s="6" t="n">
        <v>43</v>
      </c>
      <c r="T23" t="inlineStr">
        <is>
          <t>Imprégnées d'huiles qui amortissent les coups.</t>
        </is>
      </c>
    </row>
    <row r="24">
      <c r="A24" s="5" t="inlineStr">
        <is>
          <t>cape_de_nuit_sans_lune</t>
        </is>
      </c>
      <c r="B24" s="5" t="inlineStr">
        <is>
          <t>Cape de nuit sans lune</t>
        </is>
      </c>
      <c r="C24" s="5" t="inlineStr">
        <is>
          <t>Corps</t>
        </is>
      </c>
      <c r="D24" s="5" t="inlineStr">
        <is>
          <t>corps</t>
        </is>
      </c>
      <c r="E24" s="5" t="inlineStr">
        <is>
          <t>Gobelin Assassin</t>
        </is>
      </c>
      <c r="F24" s="5" t="inlineStr">
        <is>
          <t>Pas de l'ombre — Après une esquive : ta prochaine action fait 10 % de plus, et le prochain coup que tu reçois 10 % de moins.</t>
        </is>
      </c>
      <c r="G24" s="5" t="inlineStr"/>
      <c r="H24" s="5" t="inlineStr">
        <is>
          <t>non</t>
        </is>
      </c>
      <c r="I24" s="5" t="n">
        <v>0</v>
      </c>
      <c r="J24" s="5" t="n">
        <v>6</v>
      </c>
      <c r="K24" s="5" t="n">
        <v>6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6" t="n">
        <v>43</v>
      </c>
      <c r="T24" s="5" t="inlineStr">
        <is>
          <t>Elle boit la lumière autour d'elle.</t>
        </is>
      </c>
    </row>
    <row r="25">
      <c r="A25" t="inlineStr">
        <is>
          <t>cuirasse_de_l_exil</t>
        </is>
      </c>
      <c r="B25" t="inlineStr">
        <is>
          <t>Cuirasse de l'exil</t>
        </is>
      </c>
      <c r="C25" t="inlineStr">
        <is>
          <t>Corps</t>
        </is>
      </c>
      <c r="D25" t="inlineStr">
        <is>
          <t>corps</t>
        </is>
      </c>
      <c r="E25" t="inlineStr">
        <is>
          <t>Ange déchu</t>
        </is>
      </c>
      <c r="F25" t="inlineStr">
        <is>
          <t>Garde de l'exil — La première attaque que tu reçois est annulée.</t>
        </is>
      </c>
      <c r="G25" t="inlineStr"/>
      <c r="H25" t="inlineStr">
        <is>
          <t>non</t>
        </is>
      </c>
      <c r="I25" t="n">
        <v>0</v>
      </c>
      <c r="J25" t="n">
        <v>6</v>
      </c>
      <c r="K25" t="n">
        <v>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s="6" t="n">
        <v>43</v>
      </c>
      <c r="T25" t="inlineStr">
        <is>
          <t>Forgée au ciel, ternie en enfer.</t>
        </is>
      </c>
    </row>
    <row r="26">
      <c r="A26" s="5" t="inlineStr">
        <is>
          <t>fourrure_de_pleine_lune</t>
        </is>
      </c>
      <c r="B26" s="5" t="inlineStr">
        <is>
          <t>Fourrure de pleine lune</t>
        </is>
      </c>
      <c r="C26" s="5" t="inlineStr">
        <is>
          <t>Corps</t>
        </is>
      </c>
      <c r="D26" s="5" t="inlineStr">
        <is>
          <t>corps</t>
        </is>
      </c>
      <c r="E26" s="5" t="inlineStr">
        <is>
          <t>Loup-garou</t>
        </is>
      </c>
      <c r="F26" s="5" t="inlineStr">
        <is>
          <t>—</t>
        </is>
      </c>
      <c r="G26" s="5" t="inlineStr"/>
      <c r="H26" s="5" t="inlineStr">
        <is>
          <t>non</t>
        </is>
      </c>
      <c r="I26" s="5" t="n">
        <v>0</v>
      </c>
      <c r="J26" s="5" t="n">
        <v>6</v>
      </c>
      <c r="K26" s="5" t="n">
        <v>6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6" t="n">
        <v>43</v>
      </c>
      <c r="T26" s="5" t="inlineStr">
        <is>
          <t>Elle se hérisse quand la lune se cache.</t>
        </is>
      </c>
    </row>
    <row r="27">
      <c r="A27" t="inlineStr">
        <is>
          <t>haillons_du_revenant</t>
        </is>
      </c>
      <c r="B27" t="inlineStr">
        <is>
          <t>Haillons du revenant</t>
        </is>
      </c>
      <c r="C27" t="inlineStr">
        <is>
          <t>Corps</t>
        </is>
      </c>
      <c r="D27" t="inlineStr">
        <is>
          <t>corps</t>
        </is>
      </c>
      <c r="E27" t="inlineStr">
        <is>
          <t>Zombie</t>
        </is>
      </c>
      <c r="F27" t="inlineStr">
        <is>
          <t>Revenant — La première fois que tu meurs, tu reviens à la vie avec 50 % de tes PV.</t>
        </is>
      </c>
      <c r="G27" t="inlineStr"/>
      <c r="H27" t="inlineStr">
        <is>
          <t>non</t>
        </is>
      </c>
      <c r="I27" t="n">
        <v>0</v>
      </c>
      <c r="J27" t="n">
        <v>6</v>
      </c>
      <c r="K27" t="n">
        <v>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s="6" t="n">
        <v>43</v>
      </c>
      <c r="T27" t="inlineStr">
        <is>
          <t>Ils ont déjà vu leur porteur mourir. Une fois.</t>
        </is>
      </c>
    </row>
    <row r="28">
      <c r="A28" s="5" t="inlineStr">
        <is>
          <t>peau_de_loup_du_lutteur</t>
        </is>
      </c>
      <c r="B28" s="5" t="inlineStr">
        <is>
          <t>Peau de loup du lutteur</t>
        </is>
      </c>
      <c r="C28" s="5" t="inlineStr">
        <is>
          <t>Corps</t>
        </is>
      </c>
      <c r="D28" s="5" t="inlineStr">
        <is>
          <t>corps</t>
        </is>
      </c>
      <c r="E28" s="5" t="inlineStr">
        <is>
          <t>Gobelin Combattant</t>
        </is>
      </c>
      <c r="F28" s="5" t="inlineStr">
        <is>
          <t>Riposte — 10 % de chance de contre-attaquer à chaque coup subi.</t>
        </is>
      </c>
      <c r="G28" s="5" t="inlineStr"/>
      <c r="H28" s="5" t="inlineStr">
        <is>
          <t>non</t>
        </is>
      </c>
      <c r="I28" s="5" t="n">
        <v>0</v>
      </c>
      <c r="J28" s="5" t="n">
        <v>6</v>
      </c>
      <c r="K28" s="5" t="n">
        <v>6</v>
      </c>
      <c r="L28" s="5" t="n">
        <v>0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6" t="n">
        <v>43</v>
      </c>
      <c r="T28" s="5" t="inlineStr">
        <is>
          <t>L'odeur du loup rend téméraire.</t>
        </is>
      </c>
    </row>
    <row r="29">
      <c r="A29" t="inlineStr">
        <is>
          <t>pelisse_du_colosse</t>
        </is>
      </c>
      <c r="B29" t="inlineStr">
        <is>
          <t>Pelisse du colosse</t>
        </is>
      </c>
      <c r="C29" t="inlineStr">
        <is>
          <t>Corps</t>
        </is>
      </c>
      <c r="D29" t="inlineStr">
        <is>
          <t>corps</t>
        </is>
      </c>
      <c r="E29" t="inlineStr">
        <is>
          <t>Ours colosse</t>
        </is>
      </c>
      <c r="F29" t="inlineStr">
        <is>
          <t>—</t>
        </is>
      </c>
      <c r="G29" t="inlineStr"/>
      <c r="H29" t="inlineStr">
        <is>
          <t>non</t>
        </is>
      </c>
      <c r="I29" t="n">
        <v>0</v>
      </c>
      <c r="J29" t="n">
        <v>6</v>
      </c>
      <c r="K29" t="n">
        <v>6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s="6" t="n">
        <v>43</v>
      </c>
      <c r="T29" t="inlineStr">
        <is>
          <t>Une fourrure si épaisse qu'aucune lame ne la traverse.</t>
        </is>
      </c>
    </row>
    <row r="30">
      <c r="A30" s="5" t="inlineStr">
        <is>
          <t>aile_de_nuit</t>
        </is>
      </c>
      <c r="B30" s="5" t="inlineStr">
        <is>
          <t>Aile de nuit</t>
        </is>
      </c>
      <c r="C30" s="5" t="inlineStr">
        <is>
          <t>Accessoire</t>
        </is>
      </c>
      <c r="D30" s="5" t="inlineStr">
        <is>
          <t>accessoire</t>
        </is>
      </c>
      <c r="E30" s="5" t="inlineStr">
        <is>
          <t>Chauve-souris géante</t>
        </is>
      </c>
      <c r="F30" s="5" t="inlineStr">
        <is>
          <t>—</t>
        </is>
      </c>
      <c r="G30" s="5" t="inlineStr"/>
      <c r="H30" s="5" t="inlineStr">
        <is>
          <t>non</t>
        </is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2</v>
      </c>
      <c r="O30" s="5" t="n">
        <v>0</v>
      </c>
      <c r="P30" s="5" t="n">
        <v>0</v>
      </c>
      <c r="Q30" s="5" t="n">
        <v>0</v>
      </c>
      <c r="R30" s="5" t="n">
        <v>0</v>
      </c>
      <c r="S30" s="6" t="n">
        <v>18</v>
      </c>
      <c r="T30" s="5" t="inlineStr">
        <is>
          <t>Une membrane noire, légère comme l'ombre.</t>
        </is>
      </c>
    </row>
    <row r="31">
      <c r="A31" t="inlineStr">
        <is>
          <t>aureole_brisee</t>
        </is>
      </c>
      <c r="B31" t="inlineStr">
        <is>
          <t>Auréole brisée</t>
        </is>
      </c>
      <c r="C31" t="inlineStr">
        <is>
          <t>Accessoire</t>
        </is>
      </c>
      <c r="D31" t="inlineStr">
        <is>
          <t>accessoire</t>
        </is>
      </c>
      <c r="E31" t="inlineStr">
        <is>
          <t>Séraphin brisé</t>
        </is>
      </c>
      <c r="F31" t="inlineStr">
        <is>
          <t>—</t>
        </is>
      </c>
      <c r="G31" t="inlineStr"/>
      <c r="H31" t="inlineStr">
        <is>
          <t>non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4</v>
      </c>
      <c r="Q31" t="n">
        <v>0</v>
      </c>
      <c r="R31" t="n">
        <v>0</v>
      </c>
      <c r="S31" s="6" t="n">
        <v>0</v>
      </c>
      <c r="T31" t="inlineStr">
        <is>
          <t>Un halo fendu, qui brille encore par moments.</t>
        </is>
      </c>
    </row>
    <row r="32">
      <c r="A32" s="5" t="inlineStr">
        <is>
          <t>bague_de_la_comtesse</t>
        </is>
      </c>
      <c r="B32" s="5" t="inlineStr">
        <is>
          <t>Bague de la comtesse</t>
        </is>
      </c>
      <c r="C32" s="5" t="inlineStr">
        <is>
          <t>Accessoire</t>
        </is>
      </c>
      <c r="D32" s="5" t="inlineStr">
        <is>
          <t>accessoire</t>
        </is>
      </c>
      <c r="E32" s="5" t="inlineStr">
        <is>
          <t>Comtesse écarlate</t>
        </is>
      </c>
      <c r="F32" s="5" t="inlineStr">
        <is>
          <t>—</t>
        </is>
      </c>
      <c r="G32" s="5" t="inlineStr"/>
      <c r="H32" s="5" t="inlineStr">
        <is>
          <t>non</t>
        </is>
      </c>
      <c r="I32" s="5" t="n">
        <v>0</v>
      </c>
      <c r="J32" s="5" t="n">
        <v>0</v>
      </c>
      <c r="K32" s="5" t="n">
        <v>0</v>
      </c>
      <c r="L32" s="5" t="n">
        <v>0</v>
      </c>
      <c r="M32" s="5" t="n">
        <v>9</v>
      </c>
      <c r="N32" s="5" t="n">
        <v>0</v>
      </c>
      <c r="O32" s="5" t="n">
        <v>0</v>
      </c>
      <c r="P32" s="5" t="n">
        <v>0</v>
      </c>
      <c r="Q32" s="5" t="n">
        <v>0</v>
      </c>
      <c r="R32" s="5" t="n">
        <v>0</v>
      </c>
      <c r="S32" s="6" t="n">
        <v>3</v>
      </c>
      <c r="T32" s="5" t="inlineStr">
        <is>
          <t>Un rubis taillé en goutte de sang.</t>
        </is>
      </c>
    </row>
    <row r="33">
      <c r="A33" t="inlineStr">
        <is>
          <t>baiser_de_la_succube</t>
        </is>
      </c>
      <c r="B33" t="inlineStr">
        <is>
          <t>Baiser de la Succube</t>
        </is>
      </c>
      <c r="C33" t="inlineStr">
        <is>
          <t>Accessoire</t>
        </is>
      </c>
      <c r="D33" t="inlineStr">
        <is>
          <t>accessoire</t>
        </is>
      </c>
      <c r="E33" t="inlineStr">
        <is>
          <t>Succube</t>
        </is>
      </c>
      <c r="F33" t="inlineStr">
        <is>
          <t>Volonté de fer — Tu es immunisé au charme.</t>
        </is>
      </c>
      <c r="G33" t="inlineStr"/>
      <c r="H33" t="inlineStr">
        <is>
          <t>non</t>
        </is>
      </c>
      <c r="I33" t="n">
        <v>0</v>
      </c>
      <c r="J33" t="n">
        <v>0</v>
      </c>
      <c r="K33" t="n">
        <v>0</v>
      </c>
      <c r="L33" t="n">
        <v>3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s="6" t="n">
        <v>12</v>
      </c>
      <c r="T33" t="inlineStr">
        <is>
          <t>Qui l'a reçu ne craint plus aucun charme.</t>
        </is>
      </c>
    </row>
    <row r="34">
      <c r="A34" s="5" t="inlineStr">
        <is>
          <t>bracelet_runique</t>
        </is>
      </c>
      <c r="B34" s="5" t="inlineStr">
        <is>
          <t>Bracelet runique</t>
        </is>
      </c>
      <c r="C34" s="5" t="inlineStr">
        <is>
          <t>Accessoire</t>
        </is>
      </c>
      <c r="D34" s="5" t="inlineStr">
        <is>
          <t>accessoire</t>
        </is>
      </c>
      <c r="E34" s="5" t="inlineStr">
        <is>
          <t>Gobelin Runique</t>
        </is>
      </c>
      <c r="F34" s="5" t="inlineStr">
        <is>
          <t>Puissance élémentaire — Tes dégâts élémentaires sont augmentés de 10 %.</t>
        </is>
      </c>
      <c r="G34" s="5" t="inlineStr"/>
      <c r="H34" s="5" t="inlineStr">
        <is>
          <t>non</t>
        </is>
      </c>
      <c r="I34" s="5" t="n">
        <v>0</v>
      </c>
      <c r="J34" s="5" t="n">
        <v>0</v>
      </c>
      <c r="K34" s="5" t="n">
        <v>0</v>
      </c>
      <c r="L34" s="5" t="n">
        <v>0</v>
      </c>
      <c r="M34" s="5" t="n">
        <v>0</v>
      </c>
      <c r="N34" s="5" t="n">
        <v>0</v>
      </c>
      <c r="O34" s="5" t="n">
        <v>0</v>
      </c>
      <c r="P34" s="5" t="n">
        <v>0</v>
      </c>
      <c r="Q34" s="5" t="n">
        <v>20</v>
      </c>
      <c r="R34" s="5" t="n">
        <v>0</v>
      </c>
      <c r="S34" s="6" t="n">
        <v>0</v>
      </c>
      <c r="T34" s="5" t="inlineStr">
        <is>
          <t>Les runes s'éveillent au contact des éléments.</t>
        </is>
      </c>
    </row>
    <row r="35">
      <c r="A35" t="inlineStr">
        <is>
          <t>chaine_de_l_ame_errante</t>
        </is>
      </c>
      <c r="B35" t="inlineStr">
        <is>
          <t>Chaîne de l'âme errante</t>
        </is>
      </c>
      <c r="C35" t="inlineStr">
        <is>
          <t>Accessoire</t>
        </is>
      </c>
      <c r="D35" t="inlineStr">
        <is>
          <t>accessoire</t>
        </is>
      </c>
      <c r="E35" t="inlineStr">
        <is>
          <t>Fantôme</t>
        </is>
      </c>
      <c r="F35" t="inlineStr">
        <is>
          <t>Chasseur d'essences — Chaque monstre tué te donne 1 essence de plus de son élément.</t>
        </is>
      </c>
      <c r="G35" t="inlineStr"/>
      <c r="H35" t="inlineStr">
        <is>
          <t>non</t>
        </is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2</v>
      </c>
      <c r="O35" t="n">
        <v>0</v>
      </c>
      <c r="P35" t="n">
        <v>0</v>
      </c>
      <c r="Q35" t="n">
        <v>0</v>
      </c>
      <c r="R35" t="n">
        <v>0</v>
      </c>
      <c r="S35" s="6" t="n">
        <v>18</v>
      </c>
      <c r="T35" t="inlineStr">
        <is>
          <t>Elle attire les âmes des vaincus.</t>
        </is>
      </c>
    </row>
    <row r="36">
      <c r="A36" s="5" t="inlineStr">
        <is>
          <t>collier_du_gardien</t>
        </is>
      </c>
      <c r="B36" s="5" t="inlineStr">
        <is>
          <t>Collier du gardien</t>
        </is>
      </c>
      <c r="C36" s="5" t="inlineStr">
        <is>
          <t>Accessoire</t>
        </is>
      </c>
      <c r="D36" s="5" t="inlineStr">
        <is>
          <t>accessoire</t>
        </is>
      </c>
      <c r="E36" s="5" t="inlineStr">
        <is>
          <t>Cerbère</t>
        </is>
      </c>
      <c r="F36" s="5" t="inlineStr">
        <is>
          <t>Ténacité — Le premier coup mortel que tu reçois te laisse à 1 PV.</t>
        </is>
      </c>
      <c r="G36" s="5" t="inlineStr"/>
      <c r="H36" s="5" t="inlineStr">
        <is>
          <t>non</t>
        </is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5" t="n">
        <v>0</v>
      </c>
      <c r="O36" s="5" t="n">
        <v>1</v>
      </c>
      <c r="P36" s="5" t="n">
        <v>0</v>
      </c>
      <c r="Q36" s="5" t="n">
        <v>0</v>
      </c>
      <c r="R36" s="5" t="n">
        <v>0</v>
      </c>
      <c r="S36" s="6" t="n">
        <v>8</v>
      </c>
      <c r="T36" s="5" t="inlineStr">
        <is>
          <t>Le gardien des enfers ne lâche jamais prise.</t>
        </is>
      </c>
    </row>
    <row r="37">
      <c r="A37" t="inlineStr">
        <is>
          <t>croc_du_loup_sacre</t>
        </is>
      </c>
      <c r="B37" t="inlineStr">
        <is>
          <t>Croc du loup sacré</t>
        </is>
      </c>
      <c r="C37" t="inlineStr">
        <is>
          <t>Accessoire</t>
        </is>
      </c>
      <c r="D37" t="inlineStr">
        <is>
          <t>accessoire</t>
        </is>
      </c>
      <c r="E37" t="inlineStr">
        <is>
          <t>Loup sacré</t>
        </is>
      </c>
      <c r="F37" t="inlineStr">
        <is>
          <t>—</t>
        </is>
      </c>
      <c r="G37" t="inlineStr"/>
      <c r="H37" t="inlineStr">
        <is>
          <t>non</t>
        </is>
      </c>
      <c r="I37" t="n">
        <v>0</v>
      </c>
      <c r="J37" t="n">
        <v>0</v>
      </c>
      <c r="K37" t="n">
        <v>0</v>
      </c>
      <c r="L37" t="n">
        <v>3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s="6" t="n">
        <v>12</v>
      </c>
      <c r="T37" t="inlineStr">
        <is>
          <t>Porté en pendentif, il aiguise l'instinct du chasseur.</t>
        </is>
      </c>
    </row>
    <row r="38">
      <c r="A38" s="5" t="inlineStr">
        <is>
          <t>coeur_de_braise</t>
        </is>
      </c>
      <c r="B38" s="5" t="inlineStr">
        <is>
          <t>Cœur de braise</t>
        </is>
      </c>
      <c r="C38" s="5" t="inlineStr">
        <is>
          <t>Accessoire</t>
        </is>
      </c>
      <c r="D38" s="5" t="inlineStr">
        <is>
          <t>accessoire</t>
        </is>
      </c>
      <c r="E38" s="5" t="inlineStr">
        <is>
          <t>Drake de braise</t>
        </is>
      </c>
      <c r="F38" s="5" t="inlineStr">
        <is>
          <t>—</t>
        </is>
      </c>
      <c r="G38" s="5" t="inlineStr"/>
      <c r="H38" s="5" t="inlineStr">
        <is>
          <t>non</t>
        </is>
      </c>
      <c r="I38" s="5" t="n">
        <v>0</v>
      </c>
      <c r="J38" s="5" t="n">
        <v>0</v>
      </c>
      <c r="K38" s="5" t="n">
        <v>0</v>
      </c>
      <c r="L38" s="5" t="n">
        <v>3</v>
      </c>
      <c r="M38" s="5" t="n">
        <v>0</v>
      </c>
      <c r="N38" s="5" t="n">
        <v>0</v>
      </c>
      <c r="O38" s="5" t="n">
        <v>0</v>
      </c>
      <c r="P38" s="5" t="n">
        <v>0</v>
      </c>
      <c r="Q38" s="5" t="n">
        <v>0</v>
      </c>
      <c r="R38" s="5" t="n">
        <v>0</v>
      </c>
      <c r="S38" s="6" t="n">
        <v>12</v>
      </c>
      <c r="T38" s="5" t="inlineStr">
        <is>
          <t>Une pierre rougeoyante, chaude au creux de la main.</t>
        </is>
      </c>
    </row>
    <row r="39">
      <c r="A39" t="inlineStr">
        <is>
          <t>coeur_de_mousse</t>
        </is>
      </c>
      <c r="B39" t="inlineStr">
        <is>
          <t>Cœur de mousse</t>
        </is>
      </c>
      <c r="C39" t="inlineStr">
        <is>
          <t>Accessoire</t>
        </is>
      </c>
      <c r="D39" t="inlineStr">
        <is>
          <t>accessoire</t>
        </is>
      </c>
      <c r="E39" t="inlineStr">
        <is>
          <t>Golem de mousse</t>
        </is>
      </c>
      <c r="F39" t="inlineStr">
        <is>
          <t>—</t>
        </is>
      </c>
      <c r="G39" t="inlineStr"/>
      <c r="H39" t="inlineStr">
        <is>
          <t>non</t>
        </is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4</v>
      </c>
      <c r="Q39" t="n">
        <v>0</v>
      </c>
      <c r="R39" t="n">
        <v>0</v>
      </c>
      <c r="S39" s="6" t="n">
        <v>0</v>
      </c>
      <c r="T39" t="inlineStr">
        <is>
          <t>Une pierre verte qui palpite doucement.</t>
        </is>
      </c>
    </row>
    <row r="40">
      <c r="A40" s="5" t="inlineStr">
        <is>
          <t>coeur_du_neant</t>
        </is>
      </c>
      <c r="B40" s="5" t="inlineStr">
        <is>
          <t>Cœur du Néant</t>
        </is>
      </c>
      <c r="C40" s="5" t="inlineStr">
        <is>
          <t>Accessoire</t>
        </is>
      </c>
      <c r="D40" s="5" t="inlineStr">
        <is>
          <t>accessoire</t>
        </is>
      </c>
      <c r="E40" s="5" t="inlineStr">
        <is>
          <t>Avatar du Néant</t>
        </is>
      </c>
      <c r="F40" s="5" t="inlineStr">
        <is>
          <t>—</t>
        </is>
      </c>
      <c r="G40" s="5" t="inlineStr"/>
      <c r="H40" s="5" t="inlineStr">
        <is>
          <t>non</t>
        </is>
      </c>
      <c r="I40" s="5" t="n">
        <v>0</v>
      </c>
      <c r="J40" s="5" t="n">
        <v>0</v>
      </c>
      <c r="K40" s="5" t="n">
        <v>0</v>
      </c>
      <c r="L40" s="5" t="n">
        <v>0</v>
      </c>
      <c r="M40" s="5" t="n">
        <v>0</v>
      </c>
      <c r="N40" s="5" t="n">
        <v>0</v>
      </c>
      <c r="O40" s="5" t="n">
        <v>0</v>
      </c>
      <c r="P40" s="5" t="n">
        <v>0</v>
      </c>
      <c r="Q40" s="5" t="n">
        <v>20</v>
      </c>
      <c r="R40" s="5" t="n">
        <v>0</v>
      </c>
      <c r="S40" s="6" t="n">
        <v>0</v>
      </c>
      <c r="T40" s="5" t="inlineStr">
        <is>
          <t>Il ne bat pas. Il attire.</t>
        </is>
      </c>
    </row>
    <row r="41">
      <c r="A41" t="inlineStr">
        <is>
          <t>coeur_du_dragon_ancien</t>
        </is>
      </c>
      <c r="B41" t="inlineStr">
        <is>
          <t>Cœur du dragon ancien</t>
        </is>
      </c>
      <c r="C41" t="inlineStr">
        <is>
          <t>Accessoire</t>
        </is>
      </c>
      <c r="D41" t="inlineStr">
        <is>
          <t>accessoire</t>
        </is>
      </c>
      <c r="E41" t="inlineStr">
        <is>
          <t>Dragon ancien</t>
        </is>
      </c>
      <c r="F41" t="inlineStr">
        <is>
          <t>—</t>
        </is>
      </c>
      <c r="G41" t="inlineStr"/>
      <c r="H41" t="inlineStr">
        <is>
          <t>non</t>
        </is>
      </c>
      <c r="I41" t="n">
        <v>0</v>
      </c>
      <c r="J41" t="n">
        <v>0</v>
      </c>
      <c r="K41" t="n">
        <v>0</v>
      </c>
      <c r="L41" t="n">
        <v>0</v>
      </c>
      <c r="M41" t="n">
        <v>9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s="6" t="n">
        <v>3</v>
      </c>
      <c r="T41" t="inlineStr">
        <is>
          <t>Il bat encore, lentement.</t>
        </is>
      </c>
    </row>
    <row r="42">
      <c r="A42" s="5" t="inlineStr">
        <is>
          <t>flammeche_captive</t>
        </is>
      </c>
      <c r="B42" s="5" t="inlineStr">
        <is>
          <t>Flammèche captive</t>
        </is>
      </c>
      <c r="C42" s="5" t="inlineStr">
        <is>
          <t>Accessoire</t>
        </is>
      </c>
      <c r="D42" s="5" t="inlineStr">
        <is>
          <t>accessoire</t>
        </is>
      </c>
      <c r="E42" s="5" t="inlineStr">
        <is>
          <t>Dragonnet</t>
        </is>
      </c>
      <c r="F42" s="5" t="inlineStr">
        <is>
          <t>—</t>
        </is>
      </c>
      <c r="G42" s="5" t="inlineStr"/>
      <c r="H42" s="5" t="inlineStr">
        <is>
          <t>non</t>
        </is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9</v>
      </c>
      <c r="N42" s="5" t="n">
        <v>0</v>
      </c>
      <c r="O42" s="5" t="n">
        <v>0</v>
      </c>
      <c r="P42" s="5" t="n">
        <v>0</v>
      </c>
      <c r="Q42" s="5" t="n">
        <v>0</v>
      </c>
      <c r="R42" s="5" t="n">
        <v>0</v>
      </c>
      <c r="S42" s="6" t="n">
        <v>3</v>
      </c>
      <c r="T42" s="5" t="inlineStr">
        <is>
          <t>Une petite flamme enfermée dans du verre, qui ne s'éteint jamais.</t>
        </is>
      </c>
    </row>
    <row r="43">
      <c r="A43" t="inlineStr">
        <is>
          <t>fragment_de_neant</t>
        </is>
      </c>
      <c r="B43" t="inlineStr">
        <is>
          <t>Fragment de néant</t>
        </is>
      </c>
      <c r="C43" t="inlineStr">
        <is>
          <t>Accessoire</t>
        </is>
      </c>
      <c r="D43" t="inlineStr">
        <is>
          <t>accessoire</t>
        </is>
      </c>
      <c r="E43" t="inlineStr">
        <is>
          <t>Rejeton du néant</t>
        </is>
      </c>
      <c r="F43" t="inlineStr">
        <is>
          <t>—</t>
        </is>
      </c>
      <c r="G43" t="inlineStr"/>
      <c r="H43" t="inlineStr">
        <is>
          <t>non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</v>
      </c>
      <c r="R43" t="n">
        <v>0</v>
      </c>
      <c r="S43" s="6" t="n">
        <v>0</v>
      </c>
      <c r="T43" t="inlineStr">
        <is>
          <t>Un morceau de rien, étrangement lourd.</t>
        </is>
      </c>
    </row>
    <row r="44">
      <c r="A44" s="5" t="inlineStr">
        <is>
          <t>grenade_de_suie</t>
        </is>
      </c>
      <c r="B44" s="5" t="inlineStr">
        <is>
          <t>Grenade de suie</t>
        </is>
      </c>
      <c r="C44" s="5" t="inlineStr">
        <is>
          <t>Accessoire</t>
        </is>
      </c>
      <c r="D44" s="5" t="inlineStr">
        <is>
          <t>accessoire</t>
        </is>
      </c>
      <c r="E44" s="5" t="inlineStr">
        <is>
          <t>Gobelin Ballon</t>
        </is>
      </c>
      <c r="F44" s="5" t="inlineStr">
        <is>
          <t>Pare-souffle — Les dégâts de zone que tu reçois sont réduits de 50 %.</t>
        </is>
      </c>
      <c r="G44" s="5" t="inlineStr"/>
      <c r="H44" s="5" t="inlineStr">
        <is>
          <t>non</t>
        </is>
      </c>
      <c r="I44" s="5" t="n">
        <v>0</v>
      </c>
      <c r="J44" s="5" t="n">
        <v>0</v>
      </c>
      <c r="K44" s="5" t="n">
        <v>0</v>
      </c>
      <c r="L44" s="5" t="n">
        <v>0</v>
      </c>
      <c r="M44" s="5" t="n">
        <v>9</v>
      </c>
      <c r="N44" s="5" t="n">
        <v>0</v>
      </c>
      <c r="O44" s="5" t="n">
        <v>0</v>
      </c>
      <c r="P44" s="5" t="n">
        <v>0</v>
      </c>
      <c r="Q44" s="5" t="n">
        <v>0</v>
      </c>
      <c r="R44" s="5" t="n">
        <v>0</v>
      </c>
      <c r="S44" s="6" t="n">
        <v>3</v>
      </c>
      <c r="T44" s="5" t="inlineStr">
        <is>
          <t>On apprend vite à se protéger des explosions.</t>
        </is>
      </c>
    </row>
    <row r="45">
      <c r="A45" t="inlineStr">
        <is>
          <t>machoire_du_devoreur</t>
        </is>
      </c>
      <c r="B45" t="inlineStr">
        <is>
          <t>Mâchoire du dévoreur</t>
        </is>
      </c>
      <c r="C45" t="inlineStr">
        <is>
          <t>Accessoire</t>
        </is>
      </c>
      <c r="D45" t="inlineStr">
        <is>
          <t>accessoire</t>
        </is>
      </c>
      <c r="E45" t="inlineStr">
        <is>
          <t>Dévoreur</t>
        </is>
      </c>
      <c r="F45" t="inlineStr">
        <is>
          <t>—</t>
        </is>
      </c>
      <c r="G45" t="inlineStr"/>
      <c r="H45" t="inlineStr">
        <is>
          <t>non</t>
        </is>
      </c>
      <c r="I45" t="n">
        <v>0</v>
      </c>
      <c r="J45" t="n">
        <v>0</v>
      </c>
      <c r="K45" t="n">
        <v>0</v>
      </c>
      <c r="L45" t="n">
        <v>0</v>
      </c>
      <c r="M45" t="n">
        <v>9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s="6" t="n">
        <v>3</v>
      </c>
      <c r="T45" t="inlineStr">
        <is>
          <t>Une mâchoire de dents noires, en collier.</t>
        </is>
      </c>
    </row>
    <row r="46">
      <c r="A46" s="5" t="inlineStr">
        <is>
          <t>perle_de_gelee</t>
        </is>
      </c>
      <c r="B46" s="5" t="inlineStr">
        <is>
          <t>Perle de gelée</t>
        </is>
      </c>
      <c r="C46" s="5" t="inlineStr">
        <is>
          <t>Accessoire</t>
        </is>
      </c>
      <c r="D46" s="5" t="inlineStr">
        <is>
          <t>accessoire</t>
        </is>
      </c>
      <c r="E46" s="5" t="inlineStr">
        <is>
          <t>Slime</t>
        </is>
      </c>
      <c r="F46" s="5" t="inlineStr">
        <is>
          <t>Trouvaille — Tes chances de butin d'équipement sont augmentées de 10 % (1 % devient 1,1 %), pour les raretés INFÉRIEURES à celle de cette pièce — jamais pour le mythique.</t>
        </is>
      </c>
      <c r="G46" s="5" t="inlineStr"/>
      <c r="H46" s="5" t="inlineStr">
        <is>
          <t>non</t>
        </is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0</v>
      </c>
      <c r="O46" s="5" t="n">
        <v>0</v>
      </c>
      <c r="P46" s="5" t="n">
        <v>3</v>
      </c>
      <c r="Q46" s="5" t="n">
        <v>0</v>
      </c>
      <c r="R46" s="5" t="n">
        <v>0</v>
      </c>
      <c r="S46" s="6" t="n">
        <v>0</v>
      </c>
      <c r="T46" s="5" t="inlineStr">
        <is>
          <t>Tout ce qui tombe y reste collé.</t>
        </is>
      </c>
    </row>
    <row r="47">
      <c r="A47" t="inlineStr">
        <is>
          <t>plume_d_orage</t>
        </is>
      </c>
      <c r="B47" t="inlineStr">
        <is>
          <t>Plume d'orage</t>
        </is>
      </c>
      <c r="C47" t="inlineStr">
        <is>
          <t>Accessoire</t>
        </is>
      </c>
      <c r="D47" t="inlineStr">
        <is>
          <t>accessoire</t>
        </is>
      </c>
      <c r="E47" t="inlineStr">
        <is>
          <t>Aigle-tempête</t>
        </is>
      </c>
      <c r="F47" t="inlineStr">
        <is>
          <t>—</t>
        </is>
      </c>
      <c r="G47" t="inlineStr"/>
      <c r="H47" t="inlineStr">
        <is>
          <t>non</t>
        </is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0</v>
      </c>
      <c r="R47" t="n">
        <v>0</v>
      </c>
      <c r="S47" s="6" t="n">
        <v>8</v>
      </c>
      <c r="T47" t="inlineStr">
        <is>
          <t>Elle crépite entre les doigts.</t>
        </is>
      </c>
    </row>
    <row r="48">
      <c r="A48" s="5" t="inlineStr">
        <is>
          <t>sceau_du_gardien_draconique</t>
        </is>
      </c>
      <c r="B48" s="5" t="inlineStr">
        <is>
          <t>Sceau du gardien draconique</t>
        </is>
      </c>
      <c r="C48" s="5" t="inlineStr">
        <is>
          <t>Accessoire</t>
        </is>
      </c>
      <c r="D48" s="5" t="inlineStr">
        <is>
          <t>accessoire</t>
        </is>
      </c>
      <c r="E48" s="5" t="inlineStr">
        <is>
          <t>Gardien draconique</t>
        </is>
      </c>
      <c r="F48" s="5" t="inlineStr">
        <is>
          <t>—</t>
        </is>
      </c>
      <c r="G48" s="5" t="inlineStr"/>
      <c r="H48" s="5" t="inlineStr">
        <is>
          <t>non</t>
        </is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20</v>
      </c>
      <c r="R48" s="5" t="n">
        <v>0</v>
      </c>
      <c r="S48" s="6" t="n">
        <v>0</v>
      </c>
      <c r="T48" s="5" t="inlineStr">
        <is>
          <t>Le sceau des gardiens du nid.</t>
        </is>
      </c>
    </row>
    <row r="49">
      <c r="A49" t="inlineStr">
        <is>
          <t>tentacule_astral</t>
        </is>
      </c>
      <c r="B49" t="inlineStr">
        <is>
          <t>Tentacule astral</t>
        </is>
      </c>
      <c r="C49" t="inlineStr">
        <is>
          <t>Accessoire</t>
        </is>
      </c>
      <c r="D49" t="inlineStr">
        <is>
          <t>accessoire</t>
        </is>
      </c>
      <c r="E49" t="inlineStr">
        <is>
          <t>Kraken astral</t>
        </is>
      </c>
      <c r="F49" t="inlineStr">
        <is>
          <t>—</t>
        </is>
      </c>
      <c r="G49" t="inlineStr"/>
      <c r="H49" t="inlineStr">
        <is>
          <t>non</t>
        </is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2</v>
      </c>
      <c r="O49" t="n">
        <v>0</v>
      </c>
      <c r="P49" t="n">
        <v>0</v>
      </c>
      <c r="Q49" t="n">
        <v>0</v>
      </c>
      <c r="R49" t="n">
        <v>0</v>
      </c>
      <c r="S49" s="6" t="n">
        <v>18</v>
      </c>
      <c r="T49" t="inlineStr">
        <is>
          <t>Il ondule encore, entre les étoiles.</t>
        </is>
      </c>
    </row>
    <row r="50">
      <c r="A50" s="5" t="inlineStr">
        <is>
          <t>ecaille_racine</t>
        </is>
      </c>
      <c r="B50" s="5" t="inlineStr">
        <is>
          <t>Écaille-racine</t>
        </is>
      </c>
      <c r="C50" s="5" t="inlineStr">
        <is>
          <t>Accessoire</t>
        </is>
      </c>
      <c r="D50" s="5" t="inlineStr">
        <is>
          <t>accessoire</t>
        </is>
      </c>
      <c r="E50" s="5" t="inlineStr">
        <is>
          <t>Serpent des racines</t>
        </is>
      </c>
      <c r="F50" s="5" t="inlineStr">
        <is>
          <t>—</t>
        </is>
      </c>
      <c r="G50" s="5" t="inlineStr"/>
      <c r="H50" s="5" t="inlineStr">
        <is>
          <t>non</t>
        </is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2</v>
      </c>
      <c r="O50" s="5" t="n">
        <v>0</v>
      </c>
      <c r="P50" s="5" t="n">
        <v>0</v>
      </c>
      <c r="Q50" s="5" t="n">
        <v>0</v>
      </c>
      <c r="R50" s="5" t="n">
        <v>0</v>
      </c>
      <c r="S50" s="6" t="n">
        <v>18</v>
      </c>
      <c r="T50" s="5" t="inlineStr">
        <is>
          <t>Souple comme l'écorce, insaisissable comme le serpent.</t>
        </is>
      </c>
    </row>
    <row r="51">
      <c r="A51" t="inlineStr">
        <is>
          <t>oeil_de_verre_noir</t>
        </is>
      </c>
      <c r="B51" t="inlineStr">
        <is>
          <t>Œil de verre noir</t>
        </is>
      </c>
      <c r="C51" t="inlineStr">
        <is>
          <t>Accessoire</t>
        </is>
      </c>
      <c r="D51" t="inlineStr">
        <is>
          <t>accessoire</t>
        </is>
      </c>
      <c r="E51" t="inlineStr">
        <is>
          <t>Œil errant</t>
        </is>
      </c>
      <c r="F51" t="inlineStr">
        <is>
          <t>—</t>
        </is>
      </c>
      <c r="G51" t="inlineStr"/>
      <c r="H51" t="inlineStr">
        <is>
          <t>non</t>
        </is>
      </c>
      <c r="I51" t="n">
        <v>0</v>
      </c>
      <c r="J51" t="n">
        <v>0</v>
      </c>
      <c r="K51" t="n">
        <v>0</v>
      </c>
      <c r="L51" t="n">
        <v>3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s="6" t="n">
        <v>12</v>
      </c>
      <c r="T51" t="inlineStr">
        <is>
          <t>On y voit les points faibles de ses ennemis.</t>
        </is>
      </c>
    </row>
  </sheetData>
  <autoFilter ref="A1:T51"/>
  <conditionalFormatting sqref="S2:S51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13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3" customWidth="1" min="14" max="14"/>
    <col width="12" customWidth="1" min="15" max="15"/>
    <col width="12" customWidth="1" min="16" max="16"/>
    <col width="24" customWidth="1" min="17" max="17"/>
    <col width="24" customWidth="1" min="18" max="18"/>
    <col width="48" customWidth="1" min="19" max="19"/>
  </cols>
  <sheetData>
    <row r="1" ht="22" customHeight="1">
      <c r="A1" s="3" t="inlineStr">
        <is>
          <t>Code</t>
        </is>
      </c>
      <c r="B1" s="3" t="inlineStr">
        <is>
          <t>Nom</t>
        </is>
      </c>
      <c r="C1" s="3" t="inlineStr">
        <is>
          <t>Famille</t>
        </is>
      </c>
      <c r="D1" s="3" t="inlineStr">
        <is>
          <t>PV max</t>
        </is>
      </c>
      <c r="E1" s="3" t="inlineStr">
        <is>
          <t>Atk</t>
        </is>
      </c>
      <c r="F1" s="3" t="inlineStr">
        <is>
          <t>Def</t>
        </is>
      </c>
      <c r="G1" s="3" t="inlineStr">
        <is>
          <t>Vit</t>
        </is>
      </c>
      <c r="H1" s="3" t="inlineStr">
        <is>
          <t>Crit %</t>
        </is>
      </c>
      <c r="I1" s="3" t="inlineStr">
        <is>
          <t>Crit dmg</t>
        </is>
      </c>
      <c r="J1" s="3" t="inlineStr">
        <is>
          <t>Esquive</t>
        </is>
      </c>
      <c r="K1" s="3" t="inlineStr">
        <is>
          <t>Regen</t>
        </is>
      </c>
      <c r="L1" s="3" t="inlineStr">
        <is>
          <t>XP récomp.</t>
        </is>
      </c>
      <c r="M1" s="3" t="inlineStr">
        <is>
          <t>Or récomp.</t>
        </is>
      </c>
      <c r="N1" s="3" t="inlineStr">
        <is>
          <t>Poids spawn</t>
        </is>
      </c>
      <c r="O1" s="3" t="inlineStr">
        <is>
          <t>Power</t>
        </is>
      </c>
      <c r="P1" s="3" t="inlineStr">
        <is>
          <t>Rang</t>
        </is>
      </c>
      <c r="Q1" s="3" t="inlineStr">
        <is>
          <t>Drops</t>
        </is>
      </c>
      <c r="R1" s="3" t="inlineStr">
        <is>
          <t>Image</t>
        </is>
      </c>
      <c r="S1" s="3" t="inlineStr">
        <is>
          <t>Description</t>
        </is>
      </c>
    </row>
    <row r="2">
      <c r="A2" s="5" t="inlineStr">
        <is>
          <t>slime</t>
        </is>
      </c>
      <c r="B2" s="5" t="inlineStr">
        <is>
          <t>Slime</t>
        </is>
      </c>
      <c r="C2" s="5" t="inlineStr">
        <is>
          <t>slime</t>
        </is>
      </c>
      <c r="D2" s="5" t="n">
        <v>110</v>
      </c>
      <c r="E2" s="5" t="n">
        <v>8</v>
      </c>
      <c r="F2" s="5" t="n">
        <v>4</v>
      </c>
      <c r="G2" s="5" t="n">
        <v>5</v>
      </c>
      <c r="H2" s="5" t="n">
        <v>0</v>
      </c>
      <c r="I2" s="5" t="n">
        <v>100</v>
      </c>
      <c r="J2" s="5" t="n">
        <v>0</v>
      </c>
      <c r="K2" s="5" t="n">
        <v>0</v>
      </c>
      <c r="L2" s="5" t="n">
        <v>6</v>
      </c>
      <c r="M2" s="5" t="n">
        <v>3</v>
      </c>
      <c r="N2" s="5" t="n">
        <v>40</v>
      </c>
      <c r="O2" s="6">
        <f>ROUND((E2*(1+(H2/100)*MAX(0,I2-100)/100)*(1+G2/100))*((D2+F2*'⚙️ Calibrage'!$B$9)/MAX(0.01,1-J2/100))/'⚙️ Calibrage'!$B$10,0)</f>
        <v/>
      </c>
      <c r="P2" s="6">
        <f>IFERROR(VLOOKUP(O2,'⚙️ Calibrage'!$D$2:$E$29,2,TRUE),"?")</f>
        <v/>
      </c>
      <c r="Q2" s="5" t="inlineStr">
        <is>
          <t>potion_soin ×1-1 (10%)</t>
        </is>
      </c>
      <c r="R2" s="5" t="inlineStr">
        <is>
          <t>slime.png</t>
        </is>
      </c>
      <c r="S2" s="5" t="inlineStr">
        <is>
          <t>Une créature gélatineuse faible.</t>
        </is>
      </c>
    </row>
    <row r="3">
      <c r="A3" t="inlineStr">
        <is>
          <t>gobelin</t>
        </is>
      </c>
      <c r="B3" t="inlineStr">
        <is>
          <t>Gobelin</t>
        </is>
      </c>
      <c r="C3" t="inlineStr">
        <is>
          <t>gobelin</t>
        </is>
      </c>
      <c r="D3" t="n">
        <v>154</v>
      </c>
      <c r="E3" t="n">
        <v>14</v>
      </c>
      <c r="F3" t="n">
        <v>6</v>
      </c>
      <c r="G3" t="n">
        <v>5</v>
      </c>
      <c r="H3" t="n">
        <v>0</v>
      </c>
      <c r="I3" t="n">
        <v>100</v>
      </c>
      <c r="J3" t="n">
        <v>0</v>
      </c>
      <c r="K3" t="n">
        <v>0</v>
      </c>
      <c r="L3" t="n">
        <v>38</v>
      </c>
      <c r="M3" t="n">
        <v>18</v>
      </c>
      <c r="N3" t="n">
        <v>40</v>
      </c>
      <c r="O3" s="6">
        <f>ROUND((E3*(1+(H3/100)*MAX(0,I3-100)/100)*(1+G3/100))*((D3+F3*'⚙️ Calibrage'!$B$9)/MAX(0.01,1-J3/100))/'⚙️ Calibrage'!$B$10,0)</f>
        <v/>
      </c>
      <c r="P3" s="6">
        <f>IFERROR(VLOOKUP(O3,'⚙️ Calibrage'!$D$2:$E$29,2,TRUE),"?")</f>
        <v/>
      </c>
      <c r="Q3" t="inlineStr"/>
      <c r="R3" t="inlineStr">
        <is>
          <t>gobelin.png</t>
        </is>
      </c>
      <c r="S3" t="inlineStr">
        <is>
          <t>Une créature faible.</t>
        </is>
      </c>
    </row>
    <row r="4">
      <c r="A4" s="5" t="inlineStr">
        <is>
          <t>gobelin_combattant</t>
        </is>
      </c>
      <c r="B4" s="5" t="inlineStr">
        <is>
          <t>Gobelin Combattant</t>
        </is>
      </c>
      <c r="C4" s="5" t="inlineStr">
        <is>
          <t>gobelin</t>
        </is>
      </c>
      <c r="D4" s="5" t="n">
        <v>198</v>
      </c>
      <c r="E4" s="5" t="n">
        <v>21</v>
      </c>
      <c r="F4" s="5" t="n">
        <v>8</v>
      </c>
      <c r="G4" s="5" t="n">
        <v>5</v>
      </c>
      <c r="H4" s="5" t="n">
        <v>0</v>
      </c>
      <c r="I4" s="5" t="n">
        <v>100</v>
      </c>
      <c r="J4" s="5" t="n">
        <v>0</v>
      </c>
      <c r="K4" s="5" t="n">
        <v>0</v>
      </c>
      <c r="L4" s="5" t="n">
        <v>62</v>
      </c>
      <c r="M4" s="5" t="n">
        <v>30</v>
      </c>
      <c r="N4" s="5" t="n">
        <v>30</v>
      </c>
      <c r="O4" s="6">
        <f>ROUND((E4*(1+(H4/100)*MAX(0,I4-100)/100)*(1+G4/100))*((D4+F4*'⚙️ Calibrage'!$B$9)/MAX(0.01,1-J4/100))/'⚙️ Calibrage'!$B$10,0)</f>
        <v/>
      </c>
      <c r="P4" s="6">
        <f>IFERROR(VLOOKUP(O4,'⚙️ Calibrage'!$D$2:$E$29,2,TRUE),"?")</f>
        <v/>
      </c>
      <c r="Q4" s="5" t="inlineStr"/>
      <c r="R4" s="5" t="inlineStr">
        <is>
          <t>gobelin_combattant.png</t>
        </is>
      </c>
      <c r="S4" s="5" t="inlineStr">
        <is>
          <t>Une créature endurcie.</t>
        </is>
      </c>
    </row>
    <row r="5">
      <c r="A5" t="inlineStr">
        <is>
          <t>squelette</t>
        </is>
      </c>
      <c r="B5" t="inlineStr">
        <is>
          <t>Squelette</t>
        </is>
      </c>
      <c r="C5" t="inlineStr">
        <is>
          <t>mort-vivant</t>
        </is>
      </c>
      <c r="D5" t="n">
        <v>231</v>
      </c>
      <c r="E5" t="n">
        <v>26</v>
      </c>
      <c r="F5" t="n">
        <v>9</v>
      </c>
      <c r="G5" t="n">
        <v>5</v>
      </c>
      <c r="H5" t="n">
        <v>0</v>
      </c>
      <c r="I5" t="n">
        <v>100</v>
      </c>
      <c r="J5" t="n">
        <v>0</v>
      </c>
      <c r="K5" t="n">
        <v>0</v>
      </c>
      <c r="L5" t="n">
        <v>88</v>
      </c>
      <c r="M5" t="n">
        <v>42</v>
      </c>
      <c r="N5" t="n">
        <v>25</v>
      </c>
      <c r="O5" s="6">
        <f>ROUND((E5*(1+(H5/100)*MAX(0,I5-100)/100)*(1+G5/100))*((D5+F5*'⚙️ Calibrage'!$B$9)/MAX(0.01,1-J5/100))/'⚙️ Calibrage'!$B$10,0)</f>
        <v/>
      </c>
      <c r="P5" s="6">
        <f>IFERROR(VLOOKUP(O5,'⚙️ Calibrage'!$D$2:$E$29,2,TRUE),"?")</f>
        <v/>
      </c>
      <c r="Q5" t="inlineStr"/>
      <c r="R5" t="inlineStr">
        <is>
          <t>squelette.png</t>
        </is>
      </c>
      <c r="S5" t="inlineStr">
        <is>
          <t>Un pantin d'os réanimé. Le premier pas dans le royaume des morts.</t>
        </is>
      </c>
    </row>
    <row r="6">
      <c r="A6" s="5" t="inlineStr">
        <is>
          <t>gobelin_chaman</t>
        </is>
      </c>
      <c r="B6" s="5" t="inlineStr">
        <is>
          <t>Gobelin Chaman</t>
        </is>
      </c>
      <c r="C6" s="5" t="inlineStr">
        <is>
          <t>gobelin</t>
        </is>
      </c>
      <c r="D6" s="5" t="n">
        <v>194</v>
      </c>
      <c r="E6" s="5" t="n">
        <v>42</v>
      </c>
      <c r="F6" s="5" t="n">
        <v>5</v>
      </c>
      <c r="G6" s="5" t="n">
        <v>5</v>
      </c>
      <c r="H6" s="5" t="n">
        <v>0</v>
      </c>
      <c r="I6" s="5" t="n">
        <v>100</v>
      </c>
      <c r="J6" s="5" t="n">
        <v>0</v>
      </c>
      <c r="K6" s="5" t="n">
        <v>0</v>
      </c>
      <c r="L6" s="5" t="n">
        <v>94</v>
      </c>
      <c r="M6" s="5" t="n">
        <v>45</v>
      </c>
      <c r="N6" s="5" t="n">
        <v>30</v>
      </c>
      <c r="O6" s="6">
        <f>ROUND((E6*(1+(H6/100)*MAX(0,I6-100)/100)*(1+G6/100))*((D6+F6*'⚙️ Calibrage'!$B$9)/MAX(0.01,1-J6/100))/'⚙️ Calibrage'!$B$10,0)</f>
        <v/>
      </c>
      <c r="P6" s="6">
        <f>IFERROR(VLOOKUP(O6,'⚙️ Calibrage'!$D$2:$E$29,2,TRUE),"?")</f>
        <v/>
      </c>
      <c r="Q6" s="5" t="inlineStr"/>
      <c r="R6" s="5" t="inlineStr">
        <is>
          <t>gobelin_chaman.png</t>
        </is>
      </c>
      <c r="S6" s="5" t="inlineStr">
        <is>
          <t>Une créature intelligente.</t>
        </is>
      </c>
    </row>
    <row r="7">
      <c r="A7" t="inlineStr">
        <is>
          <t>zombie</t>
        </is>
      </c>
      <c r="B7" t="inlineStr">
        <is>
          <t>Zombie</t>
        </is>
      </c>
      <c r="C7" t="inlineStr">
        <is>
          <t>mort-vivant</t>
        </is>
      </c>
      <c r="D7" t="n">
        <v>248</v>
      </c>
      <c r="E7" t="n">
        <v>23</v>
      </c>
      <c r="F7" t="n">
        <v>15</v>
      </c>
      <c r="G7" t="n">
        <v>5</v>
      </c>
      <c r="H7" t="n">
        <v>0</v>
      </c>
      <c r="I7" t="n">
        <v>100</v>
      </c>
      <c r="J7" t="n">
        <v>0</v>
      </c>
      <c r="K7" t="n">
        <v>0</v>
      </c>
      <c r="L7" t="n">
        <v>112</v>
      </c>
      <c r="M7" t="n">
        <v>54</v>
      </c>
      <c r="N7" t="n">
        <v>20</v>
      </c>
      <c r="O7" s="6">
        <f>ROUND((E7*(1+(H7/100)*MAX(0,I7-100)/100)*(1+G7/100))*((D7+F7*'⚙️ Calibrage'!$B$9)/MAX(0.01,1-J7/100))/'⚙️ Calibrage'!$B$10,0)</f>
        <v/>
      </c>
      <c r="P7" s="6">
        <f>IFERROR(VLOOKUP(O7,'⚙️ Calibrage'!$D$2:$E$29,2,TRUE),"?")</f>
        <v/>
      </c>
      <c r="Q7" t="inlineStr"/>
      <c r="R7" t="inlineStr">
        <is>
          <t>zombie.png</t>
        </is>
      </c>
      <c r="S7" t="inlineStr">
        <is>
          <t>Une carcasse putride et lente, mais coriace.</t>
        </is>
      </c>
    </row>
    <row r="8">
      <c r="A8" s="5" t="inlineStr">
        <is>
          <t>gobelin_ballon</t>
        </is>
      </c>
      <c r="B8" s="5" t="inlineStr">
        <is>
          <t>Gobelin Ballon</t>
        </is>
      </c>
      <c r="C8" s="5" t="inlineStr">
        <is>
          <t>gobelin</t>
        </is>
      </c>
      <c r="D8" s="5" t="n">
        <v>286</v>
      </c>
      <c r="E8" s="5" t="n">
        <v>34</v>
      </c>
      <c r="F8" s="5" t="n">
        <v>12</v>
      </c>
      <c r="G8" s="5" t="n">
        <v>5</v>
      </c>
      <c r="H8" s="5" t="n">
        <v>0</v>
      </c>
      <c r="I8" s="5" t="n">
        <v>100</v>
      </c>
      <c r="J8" s="5" t="n">
        <v>0</v>
      </c>
      <c r="K8" s="5" t="n">
        <v>0</v>
      </c>
      <c r="L8" s="5" t="n">
        <v>119</v>
      </c>
      <c r="M8" s="5" t="n">
        <v>57</v>
      </c>
      <c r="N8" s="5" t="n">
        <v>20</v>
      </c>
      <c r="O8" s="6">
        <f>ROUND((E8*(1+(H8/100)*MAX(0,I8-100)/100)*(1+G8/100))*((D8+F8*'⚙️ Calibrage'!$B$9)/MAX(0.01,1-J8/100))/'⚙️ Calibrage'!$B$10,0)</f>
        <v/>
      </c>
      <c r="P8" s="6">
        <f>IFERROR(VLOOKUP(O8,'⚙️ Calibrage'!$D$2:$E$29,2,TRUE),"?")</f>
        <v/>
      </c>
      <c r="Q8" s="5" t="inlineStr"/>
      <c r="R8" s="5" t="inlineStr">
        <is>
          <t>gobelin_ballon.png</t>
        </is>
      </c>
      <c r="S8" s="5" t="inlineStr">
        <is>
          <t>Un groupe de créatures inventives.</t>
        </is>
      </c>
    </row>
    <row r="9">
      <c r="A9" t="inlineStr">
        <is>
          <t>gobelin_geant</t>
        </is>
      </c>
      <c r="B9" t="inlineStr">
        <is>
          <t>Gobelin Géant</t>
        </is>
      </c>
      <c r="C9" t="inlineStr">
        <is>
          <t>gobelin</t>
        </is>
      </c>
      <c r="D9" t="n">
        <v>287</v>
      </c>
      <c r="E9" t="n">
        <v>28</v>
      </c>
      <c r="F9" t="n">
        <v>17</v>
      </c>
      <c r="G9" t="n">
        <v>6</v>
      </c>
      <c r="H9" t="n">
        <v>0</v>
      </c>
      <c r="I9" t="n">
        <v>100</v>
      </c>
      <c r="J9" t="n">
        <v>0</v>
      </c>
      <c r="K9" t="n">
        <v>0</v>
      </c>
      <c r="L9" t="n">
        <v>144</v>
      </c>
      <c r="M9" t="n">
        <v>69</v>
      </c>
      <c r="N9" t="n">
        <v>20</v>
      </c>
      <c r="O9" s="6">
        <f>ROUND((E9*(1+(H9/100)*MAX(0,I9-100)/100)*(1+G9/100))*((D9+F9*'⚙️ Calibrage'!$B$9)/MAX(0.01,1-J9/100))/'⚙️ Calibrage'!$B$10,0)</f>
        <v/>
      </c>
      <c r="P9" s="6">
        <f>IFERROR(VLOOKUP(O9,'⚙️ Calibrage'!$D$2:$E$29,2,TRUE),"?")</f>
        <v/>
      </c>
      <c r="Q9" t="inlineStr"/>
      <c r="R9" t="inlineStr">
        <is>
          <t>gobelin_geant.png</t>
        </is>
      </c>
      <c r="S9" t="inlineStr">
        <is>
          <t>Une créature imposante.</t>
        </is>
      </c>
    </row>
    <row r="10">
      <c r="A10" s="5" t="inlineStr">
        <is>
          <t>momie</t>
        </is>
      </c>
      <c r="B10" s="5" t="inlineStr">
        <is>
          <t>Momie</t>
        </is>
      </c>
      <c r="C10" s="5" t="inlineStr">
        <is>
          <t>mort-vivant</t>
        </is>
      </c>
      <c r="D10" s="5" t="n">
        <v>330</v>
      </c>
      <c r="E10" s="5" t="n">
        <v>41</v>
      </c>
      <c r="F10" s="5" t="n">
        <v>14</v>
      </c>
      <c r="G10" s="5" t="n">
        <v>6</v>
      </c>
      <c r="H10" s="5" t="n">
        <v>0</v>
      </c>
      <c r="I10" s="5" t="n">
        <v>100</v>
      </c>
      <c r="J10" s="5" t="n">
        <v>0</v>
      </c>
      <c r="K10" s="5" t="n">
        <v>0</v>
      </c>
      <c r="L10" s="5" t="n">
        <v>150</v>
      </c>
      <c r="M10" s="5" t="n">
        <v>72</v>
      </c>
      <c r="N10" s="5" t="n">
        <v>10</v>
      </c>
      <c r="O10" s="6">
        <f>ROUND((E10*(1+(H10/100)*MAX(0,I10-100)/100)*(1+G10/100))*((D10+F10*'⚙️ Calibrage'!$B$9)/MAX(0.01,1-J10/100))/'⚙️ Calibrage'!$B$10,0)</f>
        <v/>
      </c>
      <c r="P10" s="6">
        <f>IFERROR(VLOOKUP(O10,'⚙️ Calibrage'!$D$2:$E$29,2,TRUE),"?")</f>
        <v/>
      </c>
      <c r="Q10" s="5" t="inlineStr"/>
      <c r="R10" s="5" t="inlineStr">
        <is>
          <t>momie.png</t>
        </is>
      </c>
      <c r="S10" s="5" t="inlineStr">
        <is>
          <t>Un corps embaumé aux bandelettes maudites, quasi increvable.</t>
        </is>
      </c>
    </row>
    <row r="11">
      <c r="A11" t="inlineStr">
        <is>
          <t>gobelin_runique</t>
        </is>
      </c>
      <c r="B11" t="inlineStr">
        <is>
          <t>Gobelin Runique</t>
        </is>
      </c>
      <c r="C11" t="inlineStr">
        <is>
          <t>gobelin</t>
        </is>
      </c>
      <c r="D11" t="n">
        <v>290</v>
      </c>
      <c r="E11" t="n">
        <v>69</v>
      </c>
      <c r="F11" t="n">
        <v>7</v>
      </c>
      <c r="G11" t="n">
        <v>6</v>
      </c>
      <c r="H11" t="n">
        <v>0</v>
      </c>
      <c r="I11" t="n">
        <v>100</v>
      </c>
      <c r="J11" t="n">
        <v>0</v>
      </c>
      <c r="K11" t="n">
        <v>0</v>
      </c>
      <c r="L11" t="n">
        <v>169</v>
      </c>
      <c r="M11" t="n">
        <v>81</v>
      </c>
      <c r="N11" t="n">
        <v>20</v>
      </c>
      <c r="O11" s="6">
        <f>ROUND((E11*(1+(H11/100)*MAX(0,I11-100)/100)*(1+G11/100))*((D11+F11*'⚙️ Calibrage'!$B$9)/MAX(0.01,1-J11/100))/'⚙️ Calibrage'!$B$10,0)</f>
        <v/>
      </c>
      <c r="P11" s="6">
        <f>IFERROR(VLOOKUP(O11,'⚙️ Calibrage'!$D$2:$E$29,2,TRUE),"?")</f>
        <v/>
      </c>
      <c r="Q11" t="inlineStr"/>
      <c r="R11" t="inlineStr">
        <is>
          <t>gobelin_runique.png</t>
        </is>
      </c>
      <c r="S11" t="inlineStr">
        <is>
          <t>Une créature mystérieuse.</t>
        </is>
      </c>
    </row>
    <row r="12">
      <c r="A12" s="5" t="inlineStr">
        <is>
          <t>fantome</t>
        </is>
      </c>
      <c r="B12" s="5" t="inlineStr">
        <is>
          <t>Fantôme</t>
        </is>
      </c>
      <c r="C12" s="5" t="inlineStr">
        <is>
          <t>mort-vivant</t>
        </is>
      </c>
      <c r="D12" s="5" t="n">
        <v>231</v>
      </c>
      <c r="E12" s="5" t="n">
        <v>46</v>
      </c>
      <c r="F12" s="5" t="n">
        <v>13</v>
      </c>
      <c r="G12" s="5" t="n">
        <v>11</v>
      </c>
      <c r="H12" s="5" t="n">
        <v>20</v>
      </c>
      <c r="I12" s="5" t="n">
        <v>150</v>
      </c>
      <c r="J12" s="5" t="n">
        <v>0</v>
      </c>
      <c r="K12" s="5" t="n">
        <v>0</v>
      </c>
      <c r="L12" s="5" t="n">
        <v>188</v>
      </c>
      <c r="M12" s="5" t="n">
        <v>90</v>
      </c>
      <c r="N12" s="5" t="n">
        <v>15</v>
      </c>
      <c r="O12" s="6">
        <f>ROUND((E12*(1+(H12/100)*MAX(0,I12-100)/100)*(1+G12/100))*((D12+F12*'⚙️ Calibrage'!$B$9)/MAX(0.01,1-J12/100))/'⚙️ Calibrage'!$B$10,0)</f>
        <v/>
      </c>
      <c r="P12" s="6">
        <f>IFERROR(VLOOKUP(O12,'⚙️ Calibrage'!$D$2:$E$29,2,TRUE),"?")</f>
        <v/>
      </c>
      <c r="Q12" s="5" t="inlineStr"/>
      <c r="R12" s="5" t="inlineStr">
        <is>
          <t>fantome.png</t>
        </is>
      </c>
      <c r="S12" s="5" t="inlineStr">
        <is>
          <t>Une âme errante insaisissable qui glisse entre les coups.</t>
        </is>
      </c>
    </row>
    <row r="13">
      <c r="A13" t="inlineStr">
        <is>
          <t>gobelin_assassin</t>
        </is>
      </c>
      <c r="B13" t="inlineStr">
        <is>
          <t>Gobelin Assassin</t>
        </is>
      </c>
      <c r="C13" t="inlineStr">
        <is>
          <t>gobelin</t>
        </is>
      </c>
      <c r="D13" t="n">
        <v>238</v>
      </c>
      <c r="E13" t="n">
        <v>47</v>
      </c>
      <c r="F13" t="n">
        <v>13</v>
      </c>
      <c r="G13" t="n">
        <v>11</v>
      </c>
      <c r="H13" t="n">
        <v>20</v>
      </c>
      <c r="I13" t="n">
        <v>150</v>
      </c>
      <c r="J13" t="n">
        <v>0</v>
      </c>
      <c r="K13" t="n">
        <v>0</v>
      </c>
      <c r="L13" t="n">
        <v>194</v>
      </c>
      <c r="M13" t="n">
        <v>93</v>
      </c>
      <c r="N13" t="n">
        <v>10</v>
      </c>
      <c r="O13" s="6">
        <f>ROUND((E13*(1+(H13/100)*MAX(0,I13-100)/100)*(1+G13/100))*((D13+F13*'⚙️ Calibrage'!$B$9)/MAX(0.01,1-J13/100))/'⚙️ Calibrage'!$B$10,0)</f>
        <v/>
      </c>
      <c r="P13" s="6">
        <f>IFERROR(VLOOKUP(O13,'⚙️ Calibrage'!$D$2:$E$29,2,TRUE),"?")</f>
        <v/>
      </c>
      <c r="Q13" t="inlineStr"/>
      <c r="R13" t="inlineStr">
        <is>
          <t>gobelin_assassin.png</t>
        </is>
      </c>
      <c r="S13" t="inlineStr">
        <is>
          <t>Une créature discrète.</t>
        </is>
      </c>
    </row>
    <row r="14">
      <c r="A14" s="5" t="inlineStr">
        <is>
          <t>gobelin_superieur</t>
        </is>
      </c>
      <c r="B14" s="5" t="inlineStr">
        <is>
          <t>Gobelin Supérieur</t>
        </is>
      </c>
      <c r="C14" s="5" t="inlineStr">
        <is>
          <t>gobelin</t>
        </is>
      </c>
      <c r="D14" s="5" t="n">
        <v>1320</v>
      </c>
      <c r="E14" s="5" t="n">
        <v>178</v>
      </c>
      <c r="F14" s="5" t="n">
        <v>18</v>
      </c>
      <c r="G14" s="5" t="n">
        <v>6</v>
      </c>
      <c r="H14" s="5" t="n">
        <v>0</v>
      </c>
      <c r="I14" s="5" t="n">
        <v>100</v>
      </c>
      <c r="J14" s="5" t="n">
        <v>0</v>
      </c>
      <c r="K14" s="5" t="n">
        <v>0</v>
      </c>
      <c r="L14" s="5" t="n">
        <v>656</v>
      </c>
      <c r="M14" s="5" t="n">
        <v>315</v>
      </c>
      <c r="N14" s="5" t="n">
        <v>10</v>
      </c>
      <c r="O14" s="6">
        <f>ROUND((E14*(1+(H14/100)*MAX(0,I14-100)/100)*(1+G14/100))*((D14+F14*'⚙️ Calibrage'!$B$9)/MAX(0.01,1-J14/100))/'⚙️ Calibrage'!$B$10,0)</f>
        <v/>
      </c>
      <c r="P14" s="6">
        <f>IFERROR(VLOOKUP(O14,'⚙️ Calibrage'!$D$2:$E$29,2,TRUE),"?")</f>
        <v/>
      </c>
      <c r="Q14" s="5" t="inlineStr"/>
      <c r="R14" s="5" t="inlineStr">
        <is>
          <t>gobelin_superieur.png</t>
        </is>
      </c>
      <c r="S14" s="5" t="inlineStr">
        <is>
          <t>Une créature supérieure.</t>
        </is>
      </c>
    </row>
    <row r="15">
      <c r="A15" t="inlineStr">
        <is>
          <t>gargouille</t>
        </is>
      </c>
      <c r="B15" t="inlineStr">
        <is>
          <t>Gargouille</t>
        </is>
      </c>
      <c r="C15" t="inlineStr">
        <is>
          <t>mort-vivant</t>
        </is>
      </c>
      <c r="D15" t="n">
        <v>426</v>
      </c>
      <c r="E15" t="n">
        <v>45</v>
      </c>
      <c r="F15" t="n">
        <v>26</v>
      </c>
      <c r="G15" t="n">
        <v>6</v>
      </c>
      <c r="H15" t="n">
        <v>0</v>
      </c>
      <c r="I15" t="n">
        <v>100</v>
      </c>
      <c r="J15" t="n">
        <v>0</v>
      </c>
      <c r="K15" t="n">
        <v>0</v>
      </c>
      <c r="L15" t="n">
        <v>238</v>
      </c>
      <c r="M15" t="n">
        <v>114</v>
      </c>
      <c r="N15" t="n">
        <v>7</v>
      </c>
      <c r="O15" s="6">
        <f>ROUND((E15*(1+(H15/100)*MAX(0,I15-100)/100)*(1+G15/100))*((D15+F15*'⚙️ Calibrage'!$B$9)/MAX(0.01,1-J15/100))/'⚙️ Calibrage'!$B$10,0)</f>
        <v/>
      </c>
      <c r="P15" s="6">
        <f>IFERROR(VLOOKUP(O15,'⚙️ Calibrage'!$D$2:$E$29,2,TRUE),"?")</f>
        <v/>
      </c>
      <c r="Q15" t="inlineStr"/>
      <c r="R15" t="inlineStr">
        <is>
          <t>gargouille.png</t>
        </is>
      </c>
      <c r="S15" t="inlineStr">
        <is>
          <t>Une statue de pierre animée qui frappe comme un bélier.</t>
        </is>
      </c>
    </row>
    <row r="16">
      <c r="A16" s="5" t="inlineStr">
        <is>
          <t>diablotin</t>
        </is>
      </c>
      <c r="B16" s="5" t="inlineStr">
        <is>
          <t>Diablotin</t>
        </is>
      </c>
      <c r="C16" s="5" t="inlineStr">
        <is>
          <t>demoniaque</t>
        </is>
      </c>
      <c r="D16" s="5" t="n">
        <v>323</v>
      </c>
      <c r="E16" s="5" t="n">
        <v>69</v>
      </c>
      <c r="F16" s="5" t="n">
        <v>18</v>
      </c>
      <c r="G16" s="5" t="n">
        <v>13</v>
      </c>
      <c r="H16" s="5" t="n">
        <v>20</v>
      </c>
      <c r="I16" s="5" t="n">
        <v>150</v>
      </c>
      <c r="J16" s="5" t="n">
        <v>0</v>
      </c>
      <c r="K16" s="5" t="n">
        <v>0</v>
      </c>
      <c r="L16" s="5" t="n">
        <v>275</v>
      </c>
      <c r="M16" s="5" t="n">
        <v>132</v>
      </c>
      <c r="N16" s="5" t="n">
        <v>40</v>
      </c>
      <c r="O16" s="6">
        <f>ROUND((E16*(1+(H16/100)*MAX(0,I16-100)/100)*(1+G16/100))*((D16+F16*'⚙️ Calibrage'!$B$9)/MAX(0.01,1-J16/100))/'⚙️ Calibrage'!$B$10,0)</f>
        <v/>
      </c>
      <c r="P16" s="6">
        <f>IFERROR(VLOOKUP(O16,'⚙️ Calibrage'!$D$2:$E$29,2,TRUE),"?")</f>
        <v/>
      </c>
      <c r="Q16" s="5" t="inlineStr"/>
      <c r="R16" s="5" t="inlineStr">
        <is>
          <t>diablotin.png</t>
        </is>
      </c>
      <c r="S16" s="5" t="inlineStr">
        <is>
          <t>Petit démon espiègle et véloce, tout juste éclos du Berceau.</t>
        </is>
      </c>
    </row>
    <row r="17">
      <c r="A17" t="inlineStr">
        <is>
          <t>banshee</t>
        </is>
      </c>
      <c r="B17" t="inlineStr">
        <is>
          <t>Banshee</t>
        </is>
      </c>
      <c r="C17" t="inlineStr">
        <is>
          <t>mort-vivant</t>
        </is>
      </c>
      <c r="D17" t="n">
        <v>440</v>
      </c>
      <c r="E17" t="n">
        <v>117</v>
      </c>
      <c r="F17" t="n">
        <v>11</v>
      </c>
      <c r="G17" t="n">
        <v>7</v>
      </c>
      <c r="H17" t="n">
        <v>0</v>
      </c>
      <c r="I17" t="n">
        <v>100</v>
      </c>
      <c r="J17" t="n">
        <v>0</v>
      </c>
      <c r="K17" t="n">
        <v>0</v>
      </c>
      <c r="L17" t="n">
        <v>281</v>
      </c>
      <c r="M17" t="n">
        <v>135</v>
      </c>
      <c r="N17" t="n">
        <v>2</v>
      </c>
      <c r="O17" s="6">
        <f>ROUND((E17*(1+(H17/100)*MAX(0,I17-100)/100)*(1+G17/100))*((D17+F17*'⚙️ Calibrage'!$B$9)/MAX(0.01,1-J17/100))/'⚙️ Calibrage'!$B$10,0)</f>
        <v/>
      </c>
      <c r="P17" s="6">
        <f>IFERROR(VLOOKUP(O17,'⚙️ Calibrage'!$D$2:$E$29,2,TRUE),"?")</f>
        <v/>
      </c>
      <c r="Q17" t="inlineStr"/>
      <c r="R17" t="inlineStr">
        <is>
          <t>banshee.png</t>
        </is>
      </c>
      <c r="S17" t="inlineStr">
        <is>
          <t>Un spectre hurlant dont le cri glaçant transperce l'âme.</t>
        </is>
      </c>
    </row>
    <row r="18">
      <c r="A18" s="5" t="inlineStr">
        <is>
          <t>loup_sacre</t>
        </is>
      </c>
      <c r="B18" s="5" t="inlineStr">
        <is>
          <t>Loup sacré</t>
        </is>
      </c>
      <c r="C18" s="5" t="inlineStr">
        <is>
          <t>primordial</t>
        </is>
      </c>
      <c r="D18" s="5" t="n">
        <v>337</v>
      </c>
      <c r="E18" s="5" t="n">
        <v>72</v>
      </c>
      <c r="F18" s="5" t="n">
        <v>18</v>
      </c>
      <c r="G18" s="5" t="n">
        <v>13</v>
      </c>
      <c r="H18" s="5" t="n">
        <v>20</v>
      </c>
      <c r="I18" s="5" t="n">
        <v>150</v>
      </c>
      <c r="J18" s="5" t="n">
        <v>0</v>
      </c>
      <c r="K18" s="5" t="n">
        <v>0</v>
      </c>
      <c r="L18" s="5" t="n">
        <v>288</v>
      </c>
      <c r="M18" s="5" t="n">
        <v>138</v>
      </c>
      <c r="N18" s="5" t="n">
        <v>40</v>
      </c>
      <c r="O18" s="6">
        <f>ROUND((E18*(1+(H18/100)*MAX(0,I18-100)/100)*(1+G18/100))*((D18+F18*'⚙️ Calibrage'!$B$9)/MAX(0.01,1-J18/100))/'⚙️ Calibrage'!$B$10,0)</f>
        <v/>
      </c>
      <c r="P18" s="6">
        <f>IFERROR(VLOOKUP(O18,'⚙️ Calibrage'!$D$2:$E$29,2,TRUE),"?")</f>
        <v/>
      </c>
      <c r="Q18" s="5" t="inlineStr"/>
      <c r="R18" s="5" t="inlineStr"/>
      <c r="S18" s="5" t="inlineStr">
        <is>
          <t>Gardien à la fourrure d'argent ; il chasse en meute depuis l'aube des temps.</t>
        </is>
      </c>
    </row>
    <row r="19">
      <c r="A19" t="inlineStr">
        <is>
          <t>cerf_esprit</t>
        </is>
      </c>
      <c r="B19" t="inlineStr">
        <is>
          <t>Cerf-esprit</t>
        </is>
      </c>
      <c r="C19" t="inlineStr">
        <is>
          <t>primordial</t>
        </is>
      </c>
      <c r="D19" t="n">
        <v>583</v>
      </c>
      <c r="E19" t="n">
        <v>85</v>
      </c>
      <c r="F19" t="n">
        <v>24</v>
      </c>
      <c r="G19" t="n">
        <v>7</v>
      </c>
      <c r="H19" t="n">
        <v>0</v>
      </c>
      <c r="I19" t="n">
        <v>100</v>
      </c>
      <c r="J19" t="n">
        <v>0</v>
      </c>
      <c r="K19" t="n">
        <v>0</v>
      </c>
      <c r="L19" t="n">
        <v>300</v>
      </c>
      <c r="M19" t="n">
        <v>144</v>
      </c>
      <c r="N19" t="n">
        <v>30</v>
      </c>
      <c r="O19" s="6">
        <f>ROUND((E19*(1+(H19/100)*MAX(0,I19-100)/100)*(1+G19/100))*((D19+F19*'⚙️ Calibrage'!$B$9)/MAX(0.01,1-J19/100))/'⚙️ Calibrage'!$B$10,0)</f>
        <v/>
      </c>
      <c r="P19" s="6">
        <f>IFERROR(VLOOKUP(O19,'⚙️ Calibrage'!$D$2:$E$29,2,TRUE),"?")</f>
        <v/>
      </c>
      <c r="Q19" t="inlineStr"/>
      <c r="R19" t="inlineStr"/>
      <c r="S19" t="inlineStr">
        <is>
          <t>Un cerf translucide ; la forêt se tait sur son passage.</t>
        </is>
      </c>
    </row>
    <row r="20">
      <c r="A20" s="5" t="inlineStr">
        <is>
          <t>serpent_des_racines</t>
        </is>
      </c>
      <c r="B20" s="5" t="inlineStr">
        <is>
          <t>Serpent des racines</t>
        </is>
      </c>
      <c r="C20" s="5" t="inlineStr">
        <is>
          <t>primordial</t>
        </is>
      </c>
      <c r="D20" s="5" t="n">
        <v>363</v>
      </c>
      <c r="E20" s="5" t="n">
        <v>80</v>
      </c>
      <c r="F20" s="5" t="n">
        <v>20</v>
      </c>
      <c r="G20" s="5" t="n">
        <v>13</v>
      </c>
      <c r="H20" s="5" t="n">
        <v>20</v>
      </c>
      <c r="I20" s="5" t="n">
        <v>150</v>
      </c>
      <c r="J20" s="5" t="n">
        <v>0</v>
      </c>
      <c r="K20" s="5" t="n">
        <v>0</v>
      </c>
      <c r="L20" s="5" t="n">
        <v>312</v>
      </c>
      <c r="M20" s="5" t="n">
        <v>150</v>
      </c>
      <c r="N20" s="5" t="n">
        <v>25</v>
      </c>
      <c r="O20" s="6">
        <f>ROUND((E20*(1+(H20/100)*MAX(0,I20-100)/100)*(1+G20/100))*((D20+F20*'⚙️ Calibrage'!$B$9)/MAX(0.01,1-J20/100))/'⚙️ Calibrage'!$B$10,0)</f>
        <v/>
      </c>
      <c r="P20" s="6">
        <f>IFERROR(VLOOKUP(O20,'⚙️ Calibrage'!$D$2:$E$29,2,TRUE),"?")</f>
        <v/>
      </c>
      <c r="Q20" s="5" t="inlineStr"/>
      <c r="R20" s="5" t="inlineStr"/>
      <c r="S20" s="5" t="inlineStr">
        <is>
          <t>Il dort sous les racines et frappe d'un venin sylvestre.</t>
        </is>
      </c>
    </row>
    <row r="21">
      <c r="A21" t="inlineStr">
        <is>
          <t>demon_cornu</t>
        </is>
      </c>
      <c r="B21" t="inlineStr">
        <is>
          <t>Démon cornu</t>
        </is>
      </c>
      <c r="C21" t="inlineStr">
        <is>
          <t>demoniaque</t>
        </is>
      </c>
      <c r="D21" t="n">
        <v>638</v>
      </c>
      <c r="E21" t="n">
        <v>93</v>
      </c>
      <c r="F21" t="n">
        <v>26</v>
      </c>
      <c r="G21" t="n">
        <v>7</v>
      </c>
      <c r="H21" t="n">
        <v>0</v>
      </c>
      <c r="I21" t="n">
        <v>100</v>
      </c>
      <c r="J21" t="n">
        <v>0</v>
      </c>
      <c r="K21" t="n">
        <v>0</v>
      </c>
      <c r="L21" t="n">
        <v>325</v>
      </c>
      <c r="M21" t="n">
        <v>156</v>
      </c>
      <c r="N21" t="n">
        <v>30</v>
      </c>
      <c r="O21" s="6">
        <f>ROUND((E21*(1+(H21/100)*MAX(0,I21-100)/100)*(1+G21/100))*((D21+F21*'⚙️ Calibrage'!$B$9)/MAX(0.01,1-J21/100))/'⚙️ Calibrage'!$B$10,0)</f>
        <v/>
      </c>
      <c r="P21" s="6">
        <f>IFERROR(VLOOKUP(O21,'⚙️ Calibrage'!$D$2:$E$29,2,TRUE),"?")</f>
        <v/>
      </c>
      <c r="Q21" t="inlineStr"/>
      <c r="R21" t="inlineStr">
        <is>
          <t>demon_cornu.png</t>
        </is>
      </c>
      <c r="S21" t="inlineStr">
        <is>
          <t>Fantassin cornu des légions infernales, brutal et sans pitié.</t>
        </is>
      </c>
    </row>
    <row r="22">
      <c r="A22" s="5" t="inlineStr">
        <is>
          <t>ours_colosse</t>
        </is>
      </c>
      <c r="B22" s="5" t="inlineStr">
        <is>
          <t>Ours colosse</t>
        </is>
      </c>
      <c r="C22" s="5" t="inlineStr">
        <is>
          <t>primordial</t>
        </is>
      </c>
      <c r="D22" s="5" t="n">
        <v>510</v>
      </c>
      <c r="E22" s="5" t="n">
        <v>140</v>
      </c>
      <c r="F22" s="5" t="n">
        <v>13</v>
      </c>
      <c r="G22" s="5" t="n">
        <v>7</v>
      </c>
      <c r="H22" s="5" t="n">
        <v>0</v>
      </c>
      <c r="I22" s="5" t="n">
        <v>100</v>
      </c>
      <c r="J22" s="5" t="n">
        <v>0</v>
      </c>
      <c r="K22" s="5" t="n">
        <v>0</v>
      </c>
      <c r="L22" s="5" t="n">
        <v>325</v>
      </c>
      <c r="M22" s="5" t="n">
        <v>156</v>
      </c>
      <c r="N22" s="5" t="n">
        <v>20</v>
      </c>
      <c r="O22" s="6">
        <f>ROUND((E22*(1+(H22/100)*MAX(0,I22-100)/100)*(1+G22/100))*((D22+F22*'⚙️ Calibrage'!$B$9)/MAX(0.01,1-J22/100))/'⚙️ Calibrage'!$B$10,0)</f>
        <v/>
      </c>
      <c r="P22" s="6">
        <f>IFERROR(VLOOKUP(O22,'⚙️ Calibrage'!$D$2:$E$29,2,TRUE),"?")</f>
        <v/>
      </c>
      <c r="Q22" s="5" t="inlineStr"/>
      <c r="R22" s="5" t="inlineStr"/>
      <c r="S22" s="5" t="inlineStr">
        <is>
          <t>Ses griffes fendent la pierre comme l'armure.</t>
        </is>
      </c>
    </row>
    <row r="23">
      <c r="A23" t="inlineStr">
        <is>
          <t>liche_maudite</t>
        </is>
      </c>
      <c r="B23" t="inlineStr">
        <is>
          <t>Liche maudite</t>
        </is>
      </c>
      <c r="C23" t="inlineStr">
        <is>
          <t>mort-vivant</t>
        </is>
      </c>
      <c r="D23" t="n">
        <v>9504</v>
      </c>
      <c r="E23" t="n">
        <v>146</v>
      </c>
      <c r="F23" t="n">
        <v>14</v>
      </c>
      <c r="G23" t="n">
        <v>7</v>
      </c>
      <c r="H23" t="n">
        <v>0</v>
      </c>
      <c r="I23" t="n">
        <v>100</v>
      </c>
      <c r="J23" t="n">
        <v>0</v>
      </c>
      <c r="K23" t="n">
        <v>0</v>
      </c>
      <c r="L23" t="n">
        <v>1012</v>
      </c>
      <c r="M23" t="n">
        <v>486</v>
      </c>
      <c r="N23" t="n">
        <v>4</v>
      </c>
      <c r="O23" s="6">
        <f>ROUND((E23*(1+(H23/100)*MAX(0,I23-100)/100)*(1+G23/100))*((D23+F23*'⚙️ Calibrage'!$B$9)/MAX(0.01,1-J23/100))/'⚙️ Calibrage'!$B$10,0)</f>
        <v/>
      </c>
      <c r="P23" s="6">
        <f>IFERROR(VLOOKUP(O23,'⚙️ Calibrage'!$D$2:$E$29,2,TRUE),"?")</f>
        <v/>
      </c>
      <c r="Q23" t="inlineStr"/>
      <c r="R23" t="inlineStr">
        <is>
          <t>liche_maudite.png</t>
        </is>
      </c>
      <c r="S23" t="inlineStr">
        <is>
          <t>Un sorcier mort-vivant dont la magie noire dévaste.</t>
        </is>
      </c>
    </row>
    <row r="24">
      <c r="A24" s="5" t="inlineStr">
        <is>
          <t>golem_de_mousse</t>
        </is>
      </c>
      <c r="B24" s="5" t="inlineStr">
        <is>
          <t>Golem de mousse</t>
        </is>
      </c>
      <c r="C24" s="5" t="inlineStr">
        <is>
          <t>primordial</t>
        </is>
      </c>
      <c r="D24" s="5" t="n">
        <v>594</v>
      </c>
      <c r="E24" s="5" t="n">
        <v>68</v>
      </c>
      <c r="F24" s="5" t="n">
        <v>36</v>
      </c>
      <c r="G24" s="5" t="n">
        <v>7</v>
      </c>
      <c r="H24" s="5" t="n">
        <v>0</v>
      </c>
      <c r="I24" s="5" t="n">
        <v>100</v>
      </c>
      <c r="J24" s="5" t="n">
        <v>0</v>
      </c>
      <c r="K24" s="5" t="n">
        <v>0</v>
      </c>
      <c r="L24" s="5" t="n">
        <v>338</v>
      </c>
      <c r="M24" s="5" t="n">
        <v>162</v>
      </c>
      <c r="N24" s="5" t="n">
        <v>15</v>
      </c>
      <c r="O24" s="6">
        <f>ROUND((E24*(1+(H24/100)*MAX(0,I24-100)/100)*(1+G24/100))*((D24+F24*'⚙️ Calibrage'!$B$9)/MAX(0.01,1-J24/100))/'⚙️ Calibrage'!$B$10,0)</f>
        <v/>
      </c>
      <c r="P24" s="6">
        <f>IFERROR(VLOOKUP(O24,'⚙️ Calibrage'!$D$2:$E$29,2,TRUE),"?")</f>
        <v/>
      </c>
      <c r="Q24" s="5" t="inlineStr"/>
      <c r="R24" s="5" t="inlineStr"/>
      <c r="S24" s="5" t="inlineStr">
        <is>
          <t>Un rocher couvert de mousse qui repousse plus vite qu'on ne l'arrache.</t>
        </is>
      </c>
    </row>
    <row r="25">
      <c r="A25" t="inlineStr">
        <is>
          <t>aigle_tempete</t>
        </is>
      </c>
      <c r="B25" t="inlineStr">
        <is>
          <t>Aigle-tempête</t>
        </is>
      </c>
      <c r="C25" t="inlineStr">
        <is>
          <t>primordial</t>
        </is>
      </c>
      <c r="D25" t="n">
        <v>3274</v>
      </c>
      <c r="E25" t="n">
        <v>138</v>
      </c>
      <c r="F25" t="n">
        <v>22</v>
      </c>
      <c r="G25" t="n">
        <v>13</v>
      </c>
      <c r="H25" t="n">
        <v>20</v>
      </c>
      <c r="I25" t="n">
        <v>150</v>
      </c>
      <c r="J25" t="n">
        <v>0</v>
      </c>
      <c r="K25" t="n">
        <v>0</v>
      </c>
      <c r="L25" t="n">
        <v>1050</v>
      </c>
      <c r="M25" t="n">
        <v>504</v>
      </c>
      <c r="N25" t="n">
        <v>10</v>
      </c>
      <c r="O25" s="6">
        <f>ROUND((E25*(1+(H25/100)*MAX(0,I25-100)/100)*(1+G25/100))*((D25+F25*'⚙️ Calibrage'!$B$9)/MAX(0.01,1-J25/100))/'⚙️ Calibrage'!$B$10,0)</f>
        <v/>
      </c>
      <c r="P25" s="6">
        <f>IFERROR(VLOOKUP(O25,'⚙️ Calibrage'!$D$2:$E$29,2,TRUE),"?")</f>
        <v/>
      </c>
      <c r="Q25" t="inlineStr"/>
      <c r="R25" t="inlineStr"/>
      <c r="S25" t="inlineStr">
        <is>
          <t>Chacun de ses battements d'ailes soulève une bourrasque.</t>
        </is>
      </c>
    </row>
    <row r="26">
      <c r="A26" s="5" t="inlineStr">
        <is>
          <t>chauve_souris_geante</t>
        </is>
      </c>
      <c r="B26" s="5" t="inlineStr">
        <is>
          <t>Chauve-souris géante</t>
        </is>
      </c>
      <c r="C26" s="5" t="inlineStr">
        <is>
          <t>nocturne</t>
        </is>
      </c>
      <c r="D26" s="5" t="n">
        <v>416</v>
      </c>
      <c r="E26" s="5" t="n">
        <v>94</v>
      </c>
      <c r="F26" s="5" t="n">
        <v>23</v>
      </c>
      <c r="G26" s="5" t="n">
        <v>13</v>
      </c>
      <c r="H26" s="5" t="n">
        <v>20</v>
      </c>
      <c r="I26" s="5" t="n">
        <v>150</v>
      </c>
      <c r="J26" s="5" t="n">
        <v>0</v>
      </c>
      <c r="K26" s="5" t="n">
        <v>0</v>
      </c>
      <c r="L26" s="5" t="n">
        <v>356</v>
      </c>
      <c r="M26" s="5" t="n">
        <v>171</v>
      </c>
      <c r="N26" s="5" t="n">
        <v>40</v>
      </c>
      <c r="O26" s="6">
        <f>ROUND((E26*(1+(H26/100)*MAX(0,I26-100)/100)*(1+G26/100))*((D26+F26*'⚙️ Calibrage'!$B$9)/MAX(0.01,1-J26/100))/'⚙️ Calibrage'!$B$10,0)</f>
        <v/>
      </c>
      <c r="P26" s="6">
        <f>IFERROR(VLOOKUP(O26,'⚙️ Calibrage'!$D$2:$E$29,2,TRUE),"?")</f>
        <v/>
      </c>
      <c r="Q26" s="5" t="inlineStr"/>
      <c r="R26" s="5" t="inlineStr"/>
      <c r="S26" s="5" t="inlineStr">
        <is>
          <t>Elle surgit de l'éclipse par nuées entières.</t>
        </is>
      </c>
    </row>
    <row r="27">
      <c r="A27" t="inlineStr">
        <is>
          <t>goule</t>
        </is>
      </c>
      <c r="B27" t="inlineStr">
        <is>
          <t>Goule</t>
        </is>
      </c>
      <c r="C27" t="inlineStr">
        <is>
          <t>nocturne</t>
        </is>
      </c>
      <c r="D27" t="n">
        <v>715</v>
      </c>
      <c r="E27" t="n">
        <v>107</v>
      </c>
      <c r="F27" t="n">
        <v>29</v>
      </c>
      <c r="G27" t="n">
        <v>7</v>
      </c>
      <c r="H27" t="n">
        <v>0</v>
      </c>
      <c r="I27" t="n">
        <v>100</v>
      </c>
      <c r="J27" t="n">
        <v>0</v>
      </c>
      <c r="K27" t="n">
        <v>0</v>
      </c>
      <c r="L27" t="n">
        <v>362</v>
      </c>
      <c r="M27" t="n">
        <v>174</v>
      </c>
      <c r="N27" t="n">
        <v>30</v>
      </c>
      <c r="O27" s="6">
        <f>ROUND((E27*(1+(H27/100)*MAX(0,I27-100)/100)*(1+G27/100))*((D27+F27*'⚙️ Calibrage'!$B$9)/MAX(0.01,1-J27/100))/'⚙️ Calibrage'!$B$10,0)</f>
        <v/>
      </c>
      <c r="P27" s="6">
        <f>IFERROR(VLOOKUP(O27,'⚙️ Calibrage'!$D$2:$E$29,2,TRUE),"?")</f>
        <v/>
      </c>
      <c r="Q27" t="inlineStr"/>
      <c r="R27" t="inlineStr"/>
      <c r="S27" t="inlineStr">
        <is>
          <t>Elle rôde entre les tombes, affamée de chair fraîche.</t>
        </is>
      </c>
    </row>
    <row r="28">
      <c r="A28" s="5" t="inlineStr">
        <is>
          <t>loup_garou</t>
        </is>
      </c>
      <c r="B28" s="5" t="inlineStr">
        <is>
          <t>Loup-garou</t>
        </is>
      </c>
      <c r="C28" s="5" t="inlineStr">
        <is>
          <t>nocturne</t>
        </is>
      </c>
      <c r="D28" s="5" t="n">
        <v>590</v>
      </c>
      <c r="E28" s="5" t="n">
        <v>168</v>
      </c>
      <c r="F28" s="5" t="n">
        <v>15</v>
      </c>
      <c r="G28" s="5" t="n">
        <v>8</v>
      </c>
      <c r="H28" s="5" t="n">
        <v>0</v>
      </c>
      <c r="I28" s="5" t="n">
        <v>100</v>
      </c>
      <c r="J28" s="5" t="n">
        <v>0</v>
      </c>
      <c r="K28" s="5" t="n">
        <v>0</v>
      </c>
      <c r="L28" s="5" t="n">
        <v>375</v>
      </c>
      <c r="M28" s="5" t="n">
        <v>180</v>
      </c>
      <c r="N28" s="5" t="n">
        <v>25</v>
      </c>
      <c r="O28" s="6">
        <f>ROUND((E28*(1+(H28/100)*MAX(0,I28-100)/100)*(1+G28/100))*((D28+F28*'⚙️ Calibrage'!$B$9)/MAX(0.01,1-J28/100))/'⚙️ Calibrage'!$B$10,0)</f>
        <v/>
      </c>
      <c r="P28" s="6">
        <f>IFERROR(VLOOKUP(O28,'⚙️ Calibrage'!$D$2:$E$29,2,TRUE),"?")</f>
        <v/>
      </c>
      <c r="Q28" s="5" t="inlineStr"/>
      <c r="R28" s="5" t="inlineStr"/>
      <c r="S28" s="5" t="inlineStr">
        <is>
          <t>Sous l'éclipse, la bête l'emporte sur l'homme — et sa rage grandit avec ses blessures.</t>
        </is>
      </c>
    </row>
    <row r="29">
      <c r="A29" t="inlineStr">
        <is>
          <t>ogre_demoniaque</t>
        </is>
      </c>
      <c r="B29" t="inlineStr">
        <is>
          <t>Ogre démoniaque</t>
        </is>
      </c>
      <c r="C29" t="inlineStr">
        <is>
          <t>demoniaque</t>
        </is>
      </c>
      <c r="D29" t="n">
        <v>607</v>
      </c>
      <c r="E29" t="n">
        <v>176</v>
      </c>
      <c r="F29" t="n">
        <v>16</v>
      </c>
      <c r="G29" t="n">
        <v>8</v>
      </c>
      <c r="H29" t="n">
        <v>0</v>
      </c>
      <c r="I29" t="n">
        <v>100</v>
      </c>
      <c r="J29" t="n">
        <v>0</v>
      </c>
      <c r="K29" t="n">
        <v>0</v>
      </c>
      <c r="L29" t="n">
        <v>388</v>
      </c>
      <c r="M29" t="n">
        <v>186</v>
      </c>
      <c r="N29" t="n">
        <v>20</v>
      </c>
      <c r="O29" s="6">
        <f>ROUND((E29*(1+(H29/100)*MAX(0,I29-100)/100)*(1+G29/100))*((D29+F29*'⚙️ Calibrage'!$B$9)/MAX(0.01,1-J29/100))/'⚙️ Calibrage'!$B$10,0)</f>
        <v/>
      </c>
      <c r="P29" s="6">
        <f>IFERROR(VLOOKUP(O29,'⚙️ Calibrage'!$D$2:$E$29,2,TRUE),"?")</f>
        <v/>
      </c>
      <c r="Q29" t="inlineStr"/>
      <c r="R29" t="inlineStr">
        <is>
          <t>ogre_demoniaque.png</t>
        </is>
      </c>
      <c r="S29" t="inlineStr">
        <is>
          <t>Masse de muscles corrompue qui écrase tout sur son passage.</t>
        </is>
      </c>
    </row>
    <row r="30">
      <c r="A30" s="5" t="inlineStr">
        <is>
          <t>sorciere_de_sang</t>
        </is>
      </c>
      <c r="B30" s="5" t="inlineStr">
        <is>
          <t>Sorcière de sang</t>
        </is>
      </c>
      <c r="C30" s="5" t="inlineStr">
        <is>
          <t>nocturne</t>
        </is>
      </c>
      <c r="D30" s="5" t="n">
        <v>607</v>
      </c>
      <c r="E30" s="5" t="n">
        <v>176</v>
      </c>
      <c r="F30" s="5" t="n">
        <v>16</v>
      </c>
      <c r="G30" s="5" t="n">
        <v>8</v>
      </c>
      <c r="H30" s="5" t="n">
        <v>0</v>
      </c>
      <c r="I30" s="5" t="n">
        <v>100</v>
      </c>
      <c r="J30" s="5" t="n">
        <v>0</v>
      </c>
      <c r="K30" s="5" t="n">
        <v>0</v>
      </c>
      <c r="L30" s="5" t="n">
        <v>388</v>
      </c>
      <c r="M30" s="5" t="n">
        <v>186</v>
      </c>
      <c r="N30" s="5" t="n">
        <v>20</v>
      </c>
      <c r="O30" s="6">
        <f>ROUND((E30*(1+(H30/100)*MAX(0,I30-100)/100)*(1+G30/100))*((D30+F30*'⚙️ Calibrage'!$B$9)/MAX(0.01,1-J30/100))/'⚙️ Calibrage'!$B$10,0)</f>
        <v/>
      </c>
      <c r="P30" s="6">
        <f>IFERROR(VLOOKUP(O30,'⚙️ Calibrage'!$D$2:$E$29,2,TRUE),"?")</f>
        <v/>
      </c>
      <c r="Q30" s="5" t="inlineStr"/>
      <c r="R30" s="5" t="inlineStr"/>
      <c r="S30" s="5" t="inlineStr">
        <is>
          <t>Elle appelle ses familiers d'un murmure.</t>
        </is>
      </c>
    </row>
    <row r="31">
      <c r="A31" t="inlineStr">
        <is>
          <t>chevalier_de_l_eclipse</t>
        </is>
      </c>
      <c r="B31" t="inlineStr">
        <is>
          <t>Chevalier de l'éclipse</t>
        </is>
      </c>
      <c r="C31" t="inlineStr">
        <is>
          <t>nocturne</t>
        </is>
      </c>
      <c r="D31" t="n">
        <v>713</v>
      </c>
      <c r="E31" t="n">
        <v>86</v>
      </c>
      <c r="F31" t="n">
        <v>43</v>
      </c>
      <c r="G31" t="n">
        <v>8</v>
      </c>
      <c r="H31" t="n">
        <v>0</v>
      </c>
      <c r="I31" t="n">
        <v>100</v>
      </c>
      <c r="J31" t="n">
        <v>0</v>
      </c>
      <c r="K31" t="n">
        <v>0</v>
      </c>
      <c r="L31" t="n">
        <v>400</v>
      </c>
      <c r="M31" t="n">
        <v>192</v>
      </c>
      <c r="N31" t="n">
        <v>15</v>
      </c>
      <c r="O31" s="6">
        <f>ROUND((E31*(1+(H31/100)*MAX(0,I31-100)/100)*(1+G31/100))*((D31+F31*'⚙️ Calibrage'!$B$9)/MAX(0.01,1-J31/100))/'⚙️ Calibrage'!$B$10,0)</f>
        <v/>
      </c>
      <c r="P31" s="6">
        <f>IFERROR(VLOOKUP(O31,'⚙️ Calibrage'!$D$2:$E$29,2,TRUE),"?")</f>
        <v/>
      </c>
      <c r="Q31" t="inlineStr"/>
      <c r="R31" t="inlineStr"/>
      <c r="S31" t="inlineStr">
        <is>
          <t>Son armure noire rend chaque coup à celui qui l'a porté.</t>
        </is>
      </c>
    </row>
    <row r="32">
      <c r="A32" s="5" t="inlineStr">
        <is>
          <t>vampire_noble</t>
        </is>
      </c>
      <c r="B32" s="5" t="inlineStr">
        <is>
          <t>Vampire noble</t>
        </is>
      </c>
      <c r="C32" s="5" t="inlineStr">
        <is>
          <t>nocturne</t>
        </is>
      </c>
      <c r="D32" s="5" t="n">
        <v>814</v>
      </c>
      <c r="E32" s="5" t="n">
        <v>126</v>
      </c>
      <c r="F32" s="5" t="n">
        <v>33</v>
      </c>
      <c r="G32" s="5" t="n">
        <v>8</v>
      </c>
      <c r="H32" s="5" t="n">
        <v>0</v>
      </c>
      <c r="I32" s="5" t="n">
        <v>100</v>
      </c>
      <c r="J32" s="5" t="n">
        <v>0</v>
      </c>
      <c r="K32" s="5" t="n">
        <v>0</v>
      </c>
      <c r="L32" s="5" t="n">
        <v>412</v>
      </c>
      <c r="M32" s="5" t="n">
        <v>198</v>
      </c>
      <c r="N32" s="5" t="n">
        <v>10</v>
      </c>
      <c r="O32" s="6">
        <f>ROUND((E32*(1+(H32/100)*MAX(0,I32-100)/100)*(1+G32/100))*((D32+F32*'⚙️ Calibrage'!$B$9)/MAX(0.01,1-J32/100))/'⚙️ Calibrage'!$B$10,0)</f>
        <v/>
      </c>
      <c r="P32" s="6">
        <f>IFERROR(VLOOKUP(O32,'⚙️ Calibrage'!$D$2:$E$29,2,TRUE),"?")</f>
        <v/>
      </c>
      <c r="Q32" s="5" t="inlineStr"/>
      <c r="R32" s="5" t="inlineStr"/>
      <c r="S32" s="5" t="inlineStr">
        <is>
          <t>Il boit la vie de ses adversaires avec élégance.</t>
        </is>
      </c>
    </row>
    <row r="33">
      <c r="A33" t="inlineStr">
        <is>
          <t>comtesse_ecarlate</t>
        </is>
      </c>
      <c r="B33" t="inlineStr">
        <is>
          <t>Comtesse écarlate</t>
        </is>
      </c>
      <c r="C33" t="inlineStr">
        <is>
          <t>nocturne</t>
        </is>
      </c>
      <c r="D33" t="n">
        <v>8910</v>
      </c>
      <c r="E33" t="n">
        <v>344</v>
      </c>
      <c r="F33" t="n">
        <v>27</v>
      </c>
      <c r="G33" t="n">
        <v>14</v>
      </c>
      <c r="H33" t="n">
        <v>20</v>
      </c>
      <c r="I33" t="n">
        <v>150</v>
      </c>
      <c r="J33" t="n">
        <v>0</v>
      </c>
      <c r="K33" t="n">
        <v>0</v>
      </c>
      <c r="L33" t="n">
        <v>1256</v>
      </c>
      <c r="M33" t="n">
        <v>603</v>
      </c>
      <c r="N33" t="n">
        <v>5</v>
      </c>
      <c r="O33" s="6">
        <f>ROUND((E33*(1+(H33/100)*MAX(0,I33-100)/100)*(1+G33/100))*((D33+F33*'⚙️ Calibrage'!$B$9)/MAX(0.01,1-J33/100))/'⚙️ Calibrage'!$B$10,0)</f>
        <v/>
      </c>
      <c r="P33" s="6">
        <f>IFERROR(VLOOKUP(O33,'⚙️ Calibrage'!$D$2:$E$29,2,TRUE),"?")</f>
        <v/>
      </c>
      <c r="Q33" t="inlineStr"/>
      <c r="R33" t="inlineStr"/>
      <c r="S33" t="inlineStr">
        <is>
          <t>Un regard, et ses ennemis se battent pour elle.</t>
        </is>
      </c>
    </row>
    <row r="34">
      <c r="A34" s="5" t="inlineStr">
        <is>
          <t>kobold</t>
        </is>
      </c>
      <c r="B34" s="5" t="inlineStr">
        <is>
          <t>Kobold</t>
        </is>
      </c>
      <c r="C34" s="5" t="inlineStr">
        <is>
          <t>draconique</t>
        </is>
      </c>
      <c r="D34" s="5" t="n">
        <v>836</v>
      </c>
      <c r="E34" s="5" t="n">
        <v>129</v>
      </c>
      <c r="F34" s="5" t="n">
        <v>34</v>
      </c>
      <c r="G34" s="5" t="n">
        <v>8</v>
      </c>
      <c r="H34" s="5" t="n">
        <v>0</v>
      </c>
      <c r="I34" s="5" t="n">
        <v>100</v>
      </c>
      <c r="J34" s="5" t="n">
        <v>0</v>
      </c>
      <c r="K34" s="5" t="n">
        <v>0</v>
      </c>
      <c r="L34" s="5" t="n">
        <v>425</v>
      </c>
      <c r="M34" s="5" t="n">
        <v>204</v>
      </c>
      <c r="N34" s="5" t="n">
        <v>40</v>
      </c>
      <c r="O34" s="6">
        <f>ROUND((E34*(1+(H34/100)*MAX(0,I34-100)/100)*(1+G34/100))*((D34+F34*'⚙️ Calibrage'!$B$9)/MAX(0.01,1-J34/100))/'⚙️ Calibrage'!$B$10,0)</f>
        <v/>
      </c>
      <c r="P34" s="6">
        <f>IFERROR(VLOOKUP(O34,'⚙️ Calibrage'!$D$2:$E$29,2,TRUE),"?")</f>
        <v/>
      </c>
      <c r="Q34" s="5" t="inlineStr"/>
      <c r="R34" s="5" t="inlineStr"/>
      <c r="S34" s="5" t="inlineStr">
        <is>
          <t>Petit, rusé, armé d'une lance trop grande pour lui.</t>
        </is>
      </c>
    </row>
    <row r="35">
      <c r="A35" t="inlineStr">
        <is>
          <t>cerbere</t>
        </is>
      </c>
      <c r="B35" t="inlineStr">
        <is>
          <t>Cerbère</t>
        </is>
      </c>
      <c r="C35" t="inlineStr">
        <is>
          <t>demoniaque</t>
        </is>
      </c>
      <c r="D35" t="n">
        <v>858</v>
      </c>
      <c r="E35" t="n">
        <v>133</v>
      </c>
      <c r="F35" t="n">
        <v>35</v>
      </c>
      <c r="G35" t="n">
        <v>8</v>
      </c>
      <c r="H35" t="n">
        <v>0</v>
      </c>
      <c r="I35" t="n">
        <v>100</v>
      </c>
      <c r="J35" t="n">
        <v>0</v>
      </c>
      <c r="K35" t="n">
        <v>0</v>
      </c>
      <c r="L35" t="n">
        <v>438</v>
      </c>
      <c r="M35" t="n">
        <v>210</v>
      </c>
      <c r="N35" t="n">
        <v>15</v>
      </c>
      <c r="O35" s="6">
        <f>ROUND((E35*(1+(H35/100)*MAX(0,I35-100)/100)*(1+G35/100))*((D35+F35*'⚙️ Calibrage'!$B$9)/MAX(0.01,1-J35/100))/'⚙️ Calibrage'!$B$10,0)</f>
        <v/>
      </c>
      <c r="P35" s="6">
        <f>IFERROR(VLOOKUP(O35,'⚙️ Calibrage'!$D$2:$E$29,2,TRUE),"?")</f>
        <v/>
      </c>
      <c r="Q35" t="inlineStr"/>
      <c r="R35" t="inlineStr">
        <is>
          <t>cerbere.png</t>
        </is>
      </c>
      <c r="S35" t="inlineStr">
        <is>
          <t>Molosse à trois têtes gardant les portes de l'abîme.</t>
        </is>
      </c>
    </row>
    <row r="36">
      <c r="A36" s="5" t="inlineStr">
        <is>
          <t>dragonnet</t>
        </is>
      </c>
      <c r="B36" s="5" t="inlineStr">
        <is>
          <t>Dragonnet</t>
        </is>
      </c>
      <c r="C36" s="5" t="inlineStr">
        <is>
          <t>draconique</t>
        </is>
      </c>
      <c r="D36" s="5" t="n">
        <v>515</v>
      </c>
      <c r="E36" s="5" t="n">
        <v>119</v>
      </c>
      <c r="F36" s="5" t="n">
        <v>28</v>
      </c>
      <c r="G36" s="5" t="n">
        <v>14</v>
      </c>
      <c r="H36" s="5" t="n">
        <v>20</v>
      </c>
      <c r="I36" s="5" t="n">
        <v>150</v>
      </c>
      <c r="J36" s="5" t="n">
        <v>0</v>
      </c>
      <c r="K36" s="5" t="n">
        <v>0</v>
      </c>
      <c r="L36" s="5" t="n">
        <v>438</v>
      </c>
      <c r="M36" s="5" t="n">
        <v>210</v>
      </c>
      <c r="N36" s="5" t="n">
        <v>30</v>
      </c>
      <c r="O36" s="6">
        <f>ROUND((E36*(1+(H36/100)*MAX(0,I36-100)/100)*(1+G36/100))*((D36+F36*'⚙️ Calibrage'!$B$9)/MAX(0.01,1-J36/100))/'⚙️ Calibrage'!$B$10,0)</f>
        <v/>
      </c>
      <c r="P36" s="6">
        <f>IFERROR(VLOOKUP(O36,'⚙️ Calibrage'!$D$2:$E$29,2,TRUE),"?")</f>
        <v/>
      </c>
      <c r="Q36" s="5" t="inlineStr"/>
      <c r="R36" s="5" t="inlineStr"/>
      <c r="S36" s="5" t="inlineStr">
        <is>
          <t>Un jeune dragon, vif et capricieux.</t>
        </is>
      </c>
    </row>
    <row r="37">
      <c r="A37" t="inlineStr">
        <is>
          <t>drake_de_braise</t>
        </is>
      </c>
      <c r="B37" t="inlineStr">
        <is>
          <t>Drake de braise</t>
        </is>
      </c>
      <c r="C37" t="inlineStr">
        <is>
          <t>draconique</t>
        </is>
      </c>
      <c r="D37" t="n">
        <v>704</v>
      </c>
      <c r="E37" t="n">
        <v>204</v>
      </c>
      <c r="F37" t="n">
        <v>18</v>
      </c>
      <c r="G37" t="n">
        <v>8</v>
      </c>
      <c r="H37" t="n">
        <v>0</v>
      </c>
      <c r="I37" t="n">
        <v>100</v>
      </c>
      <c r="J37" t="n">
        <v>0</v>
      </c>
      <c r="K37" t="n">
        <v>0</v>
      </c>
      <c r="L37" t="n">
        <v>450</v>
      </c>
      <c r="M37" t="n">
        <v>216</v>
      </c>
      <c r="N37" t="n">
        <v>25</v>
      </c>
      <c r="O37" s="6">
        <f>ROUND((E37*(1+(H37/100)*MAX(0,I37-100)/100)*(1+G37/100))*((D37+F37*'⚙️ Calibrage'!$B$9)/MAX(0.01,1-J37/100))/'⚙️ Calibrage'!$B$10,0)</f>
        <v/>
      </c>
      <c r="P37" s="6">
        <f>IFERROR(VLOOKUP(O37,'⚙️ Calibrage'!$D$2:$E$29,2,TRUE),"?")</f>
        <v/>
      </c>
      <c r="Q37" t="inlineStr"/>
      <c r="R37" t="inlineStr"/>
      <c r="S37" t="inlineStr">
        <is>
          <t>Ses morsures laissent des brûlures qui couvent longtemps.</t>
        </is>
      </c>
    </row>
    <row r="38">
      <c r="A38" s="5" t="inlineStr">
        <is>
          <t>wyverne</t>
        </is>
      </c>
      <c r="B38" s="5" t="inlineStr">
        <is>
          <t>Wyverne</t>
        </is>
      </c>
      <c r="C38" s="5" t="inlineStr">
        <is>
          <t>draconique</t>
        </is>
      </c>
      <c r="D38" s="5" t="n">
        <v>541</v>
      </c>
      <c r="E38" s="5" t="n">
        <v>126</v>
      </c>
      <c r="F38" s="5" t="n">
        <v>30</v>
      </c>
      <c r="G38" s="5" t="n">
        <v>14</v>
      </c>
      <c r="H38" s="5" t="n">
        <v>20</v>
      </c>
      <c r="I38" s="5" t="n">
        <v>150</v>
      </c>
      <c r="J38" s="5" t="n">
        <v>0</v>
      </c>
      <c r="K38" s="5" t="n">
        <v>0</v>
      </c>
      <c r="L38" s="5" t="n">
        <v>462</v>
      </c>
      <c r="M38" s="5" t="n">
        <v>222</v>
      </c>
      <c r="N38" s="5" t="n">
        <v>20</v>
      </c>
      <c r="O38" s="6">
        <f>ROUND((E38*(1+(H38/100)*MAX(0,I38-100)/100)*(1+G38/100))*((D38+F38*'⚙️ Calibrage'!$B$9)/MAX(0.01,1-J38/100))/'⚙️ Calibrage'!$B$10,0)</f>
        <v/>
      </c>
      <c r="P38" s="6">
        <f>IFERROR(VLOOKUP(O38,'⚙️ Calibrage'!$D$2:$E$29,2,TRUE),"?")</f>
        <v/>
      </c>
      <c r="Q38" s="5" t="inlineStr"/>
      <c r="R38" s="5" t="inlineStr"/>
      <c r="S38" s="5" t="inlineStr">
        <is>
          <t>Elle fond sur sa proie et frappe deux fois avant qu'on la voie.</t>
        </is>
      </c>
    </row>
    <row r="39">
      <c r="A39" t="inlineStr">
        <is>
          <t>dragon_de_givre</t>
        </is>
      </c>
      <c r="B39" t="inlineStr">
        <is>
          <t>Dragon de givre</t>
        </is>
      </c>
      <c r="C39" t="inlineStr">
        <is>
          <t>draconique</t>
        </is>
      </c>
      <c r="D39" t="n">
        <v>822</v>
      </c>
      <c r="E39" t="n">
        <v>100</v>
      </c>
      <c r="F39" t="n">
        <v>50</v>
      </c>
      <c r="G39" t="n">
        <v>8</v>
      </c>
      <c r="H39" t="n">
        <v>0</v>
      </c>
      <c r="I39" t="n">
        <v>100</v>
      </c>
      <c r="J39" t="n">
        <v>0</v>
      </c>
      <c r="K39" t="n">
        <v>0</v>
      </c>
      <c r="L39" t="n">
        <v>475</v>
      </c>
      <c r="M39" t="n">
        <v>228</v>
      </c>
      <c r="N39" t="n">
        <v>15</v>
      </c>
      <c r="O39" s="6">
        <f>ROUND((E39*(1+(H39/100)*MAX(0,I39-100)/100)*(1+G39/100))*((D39+F39*'⚙️ Calibrage'!$B$9)/MAX(0.01,1-J39/100))/'⚙️ Calibrage'!$B$10,0)</f>
        <v/>
      </c>
      <c r="P39" s="6">
        <f>IFERROR(VLOOKUP(O39,'⚙️ Calibrage'!$D$2:$E$29,2,TRUE),"?")</f>
        <v/>
      </c>
      <c r="Q39" t="inlineStr"/>
      <c r="R39" t="inlineStr"/>
      <c r="S39" t="inlineStr">
        <is>
          <t>Son souffle fige le sang dans les veines.</t>
        </is>
      </c>
    </row>
    <row r="40">
      <c r="A40" s="5" t="inlineStr">
        <is>
          <t>succube</t>
        </is>
      </c>
      <c r="B40" s="5" t="inlineStr">
        <is>
          <t>Succube</t>
        </is>
      </c>
      <c r="C40" s="5" t="inlineStr">
        <is>
          <t>demoniaque</t>
        </is>
      </c>
      <c r="D40" s="5" t="n">
        <v>748</v>
      </c>
      <c r="E40" s="5" t="n">
        <v>220</v>
      </c>
      <c r="F40" s="5" t="n">
        <v>19</v>
      </c>
      <c r="G40" s="5" t="n">
        <v>8</v>
      </c>
      <c r="H40" s="5" t="n">
        <v>0</v>
      </c>
      <c r="I40" s="5" t="n">
        <v>100</v>
      </c>
      <c r="J40" s="5" t="n">
        <v>0</v>
      </c>
      <c r="K40" s="5" t="n">
        <v>0</v>
      </c>
      <c r="L40" s="5" t="n">
        <v>488</v>
      </c>
      <c r="M40" s="5" t="n">
        <v>234</v>
      </c>
      <c r="N40" s="5" t="n">
        <v>12</v>
      </c>
      <c r="O40" s="6">
        <f>ROUND((E40*(1+(H40/100)*MAX(0,I40-100)/100)*(1+G40/100))*((D40+F40*'⚙️ Calibrage'!$B$9)/MAX(0.01,1-J40/100))/'⚙️ Calibrage'!$B$10,0)</f>
        <v/>
      </c>
      <c r="P40" s="6">
        <f>IFERROR(VLOOKUP(O40,'⚙️ Calibrage'!$D$2:$E$29,2,TRUE),"?")</f>
        <v/>
      </c>
      <c r="Q40" s="5" t="inlineStr"/>
      <c r="R40" s="5" t="inlineStr">
        <is>
          <t>succube.png</t>
        </is>
      </c>
      <c r="S40" s="5" t="inlineStr">
        <is>
          <t>Démone envoûtante qui draine la vie de ses proies.</t>
        </is>
      </c>
    </row>
    <row r="41">
      <c r="A41" t="inlineStr">
        <is>
          <t>gardien_draconique</t>
        </is>
      </c>
      <c r="B41" t="inlineStr">
        <is>
          <t>Gardien draconique</t>
        </is>
      </c>
      <c r="C41" t="inlineStr">
        <is>
          <t>draconique</t>
        </is>
      </c>
      <c r="D41" t="n">
        <v>935</v>
      </c>
      <c r="E41" t="n">
        <v>146</v>
      </c>
      <c r="F41" t="n">
        <v>38</v>
      </c>
      <c r="G41" t="n">
        <v>8</v>
      </c>
      <c r="H41" t="n">
        <v>0</v>
      </c>
      <c r="I41" t="n">
        <v>100</v>
      </c>
      <c r="J41" t="n">
        <v>0</v>
      </c>
      <c r="K41" t="n">
        <v>0</v>
      </c>
      <c r="L41" t="n">
        <v>488</v>
      </c>
      <c r="M41" t="n">
        <v>234</v>
      </c>
      <c r="N41" t="n">
        <v>10</v>
      </c>
      <c r="O41" s="6">
        <f>ROUND((E41*(1+(H41/100)*MAX(0,I41-100)/100)*(1+G41/100))*((D41+F41*'⚙️ Calibrage'!$B$9)/MAX(0.01,1-J41/100))/'⚙️ Calibrage'!$B$10,0)</f>
        <v/>
      </c>
      <c r="P41" s="6">
        <f>IFERROR(VLOOKUP(O41,'⚙️ Calibrage'!$D$2:$E$29,2,TRUE),"?")</f>
        <v/>
      </c>
      <c r="Q41" t="inlineStr"/>
      <c r="R41" t="inlineStr"/>
      <c r="S41" t="inlineStr">
        <is>
          <t>Une écaille-bouclier le protège avant qu'on puisse l'atteindre.</t>
        </is>
      </c>
    </row>
    <row r="42">
      <c r="A42" s="5" t="inlineStr">
        <is>
          <t>dragon_ancien</t>
        </is>
      </c>
      <c r="B42" s="5" t="inlineStr">
        <is>
          <t>Dragon ancien</t>
        </is>
      </c>
      <c r="C42" s="5" t="inlineStr">
        <is>
          <t>draconique</t>
        </is>
      </c>
      <c r="D42" s="5" t="n">
        <v>19906</v>
      </c>
      <c r="E42" s="5" t="n">
        <v>170</v>
      </c>
      <c r="F42" s="5" t="n">
        <v>20</v>
      </c>
      <c r="G42" s="5" t="n">
        <v>8</v>
      </c>
      <c r="H42" s="5" t="n">
        <v>0</v>
      </c>
      <c r="I42" s="5" t="n">
        <v>100</v>
      </c>
      <c r="J42" s="5" t="n">
        <v>0</v>
      </c>
      <c r="K42" s="5" t="n">
        <v>0</v>
      </c>
      <c r="L42" s="5" t="n">
        <v>1500</v>
      </c>
      <c r="M42" s="5" t="n">
        <v>720</v>
      </c>
      <c r="N42" s="5" t="n">
        <v>5</v>
      </c>
      <c r="O42" s="6">
        <f>ROUND((E42*(1+(H42/100)*MAX(0,I42-100)/100)*(1+G42/100))*((D42+F42*'⚙️ Calibrage'!$B$9)/MAX(0.01,1-J42/100))/'⚙️ Calibrage'!$B$10,0)</f>
        <v/>
      </c>
      <c r="P42" s="6">
        <f>IFERROR(VLOOKUP(O42,'⚙️ Calibrage'!$D$2:$E$29,2,TRUE),"?")</f>
        <v/>
      </c>
      <c r="Q42" s="5" t="inlineStr"/>
      <c r="R42" s="5" t="inlineStr"/>
      <c r="S42" s="5" t="inlineStr">
        <is>
          <t>Le maître des cimes. Blessé, il devient un brasier.</t>
        </is>
      </c>
    </row>
    <row r="43">
      <c r="A43" t="inlineStr">
        <is>
          <t>rejeton_du_neant</t>
        </is>
      </c>
      <c r="B43" t="inlineStr">
        <is>
          <t>Rejeton du néant</t>
        </is>
      </c>
      <c r="C43" t="inlineStr">
        <is>
          <t>abyssal</t>
        </is>
      </c>
      <c r="D43" t="n">
        <v>968</v>
      </c>
      <c r="E43" t="n">
        <v>153</v>
      </c>
      <c r="F43" t="n">
        <v>40</v>
      </c>
      <c r="G43" t="n">
        <v>8</v>
      </c>
      <c r="H43" t="n">
        <v>0</v>
      </c>
      <c r="I43" t="n">
        <v>100</v>
      </c>
      <c r="J43" t="n">
        <v>0</v>
      </c>
      <c r="K43" t="n">
        <v>0</v>
      </c>
      <c r="L43" t="n">
        <v>506</v>
      </c>
      <c r="M43" t="n">
        <v>243</v>
      </c>
      <c r="N43" t="n">
        <v>40</v>
      </c>
      <c r="O43" s="6">
        <f>ROUND((E43*(1+(H43/100)*MAX(0,I43-100)/100)*(1+G43/100))*((D43+F43*'⚙️ Calibrage'!$B$9)/MAX(0.01,1-J43/100))/'⚙️ Calibrage'!$B$10,0)</f>
        <v/>
      </c>
      <c r="P43" s="6">
        <f>IFERROR(VLOOKUP(O43,'⚙️ Calibrage'!$D$2:$E$29,2,TRUE),"?")</f>
        <v/>
      </c>
      <c r="Q43" t="inlineStr"/>
      <c r="R43" t="inlineStr"/>
      <c r="S43" t="inlineStr">
        <is>
          <t>Une ombre qui a appris à marcher.</t>
        </is>
      </c>
    </row>
    <row r="44">
      <c r="A44" s="5" t="inlineStr">
        <is>
          <t>oeil_errant</t>
        </is>
      </c>
      <c r="B44" s="5" t="inlineStr">
        <is>
          <t>Œil errant</t>
        </is>
      </c>
      <c r="C44" s="5" t="inlineStr">
        <is>
          <t>abyssal</t>
        </is>
      </c>
      <c r="D44" s="5" t="n">
        <v>601</v>
      </c>
      <c r="E44" s="5" t="n">
        <v>142</v>
      </c>
      <c r="F44" s="5" t="n">
        <v>33</v>
      </c>
      <c r="G44" s="5" t="n">
        <v>14</v>
      </c>
      <c r="H44" s="5" t="n">
        <v>20</v>
      </c>
      <c r="I44" s="5" t="n">
        <v>150</v>
      </c>
      <c r="J44" s="5" t="n">
        <v>0</v>
      </c>
      <c r="K44" s="5" t="n">
        <v>0</v>
      </c>
      <c r="L44" s="5" t="n">
        <v>525</v>
      </c>
      <c r="M44" s="5" t="n">
        <v>252</v>
      </c>
      <c r="N44" s="5" t="n">
        <v>30</v>
      </c>
      <c r="O44" s="6">
        <f>ROUND((E44*(1+(H44/100)*MAX(0,I44-100)/100)*(1+G44/100))*((D44+F44*'⚙️ Calibrage'!$B$9)/MAX(0.01,1-J44/100))/'⚙️ Calibrage'!$B$10,0)</f>
        <v/>
      </c>
      <c r="P44" s="6">
        <f>IFERROR(VLOOKUP(O44,'⚙️ Calibrage'!$D$2:$E$29,2,TRUE),"?")</f>
        <v/>
      </c>
      <c r="Q44" s="5" t="inlineStr"/>
      <c r="R44" s="5" t="inlineStr"/>
      <c r="S44" s="5" t="inlineStr">
        <is>
          <t>Il flotte, il observe, il ne cligne jamais.</t>
        </is>
      </c>
    </row>
    <row r="45">
      <c r="A45" t="inlineStr">
        <is>
          <t>ange_dechu</t>
        </is>
      </c>
      <c r="B45" t="inlineStr">
        <is>
          <t>Ange déchu</t>
        </is>
      </c>
      <c r="C45" t="inlineStr">
        <is>
          <t>demoniaque</t>
        </is>
      </c>
      <c r="D45" t="n">
        <v>1034</v>
      </c>
      <c r="E45" t="n">
        <v>163</v>
      </c>
      <c r="F45" t="n">
        <v>42</v>
      </c>
      <c r="G45" t="n">
        <v>8</v>
      </c>
      <c r="H45" t="n">
        <v>0</v>
      </c>
      <c r="I45" t="n">
        <v>100</v>
      </c>
      <c r="J45" t="n">
        <v>0</v>
      </c>
      <c r="K45" t="n">
        <v>0</v>
      </c>
      <c r="L45" t="n">
        <v>544</v>
      </c>
      <c r="M45" t="n">
        <v>261</v>
      </c>
      <c r="N45" t="n">
        <v>8</v>
      </c>
      <c r="O45" s="6">
        <f>ROUND((E45*(1+(H45/100)*MAX(0,I45-100)/100)*(1+G45/100))*((D45+F45*'⚙️ Calibrage'!$B$9)/MAX(0.01,1-J45/100))/'⚙️ Calibrage'!$B$10,0)</f>
        <v/>
      </c>
      <c r="P45" s="6">
        <f>IFERROR(VLOOKUP(O45,'⚙️ Calibrage'!$D$2:$E$29,2,TRUE),"?")</f>
        <v/>
      </c>
      <c r="Q45" t="inlineStr"/>
      <c r="R45" t="inlineStr">
        <is>
          <t>ange_dechu.png</t>
        </is>
      </c>
      <c r="S45" t="inlineStr">
        <is>
          <t>Ancien séraphin banni ; sa lumière s'est muée en fureur.</t>
        </is>
      </c>
    </row>
    <row r="46">
      <c r="A46" s="5" t="inlineStr">
        <is>
          <t>devoreur</t>
        </is>
      </c>
      <c r="B46" s="5" t="inlineStr">
        <is>
          <t>Dévoreur</t>
        </is>
      </c>
      <c r="C46" s="5" t="inlineStr">
        <is>
          <t>abyssal</t>
        </is>
      </c>
      <c r="D46" s="5" t="n">
        <v>827</v>
      </c>
      <c r="E46" s="5" t="n">
        <v>245</v>
      </c>
      <c r="F46" s="5" t="n">
        <v>21</v>
      </c>
      <c r="G46" s="5" t="n">
        <v>8</v>
      </c>
      <c r="H46" s="5" t="n">
        <v>0</v>
      </c>
      <c r="I46" s="5" t="n">
        <v>100</v>
      </c>
      <c r="J46" s="5" t="n">
        <v>0</v>
      </c>
      <c r="K46" s="5" t="n">
        <v>0</v>
      </c>
      <c r="L46" s="5" t="n">
        <v>544</v>
      </c>
      <c r="M46" s="5" t="n">
        <v>261</v>
      </c>
      <c r="N46" s="5" t="n">
        <v>25</v>
      </c>
      <c r="O46" s="6">
        <f>ROUND((E46*(1+(H46/100)*MAX(0,I46-100)/100)*(1+G46/100))*((D46+F46*'⚙️ Calibrage'!$B$9)/MAX(0.01,1-J46/100))/'⚙️ Calibrage'!$B$10,0)</f>
        <v/>
      </c>
      <c r="P46" s="6">
        <f>IFERROR(VLOOKUP(O46,'⚙️ Calibrage'!$D$2:$E$29,2,TRUE),"?")</f>
        <v/>
      </c>
      <c r="Q46" s="5" t="inlineStr"/>
      <c r="R46" s="5" t="inlineStr"/>
      <c r="S46" s="5" t="inlineStr">
        <is>
          <t>Il se nourrit de tout ce qu'il touche — et se referme sur ses plaies.</t>
        </is>
      </c>
    </row>
    <row r="47">
      <c r="A47" t="inlineStr">
        <is>
          <t>heraut_du_vide</t>
        </is>
      </c>
      <c r="B47" t="inlineStr">
        <is>
          <t>Héraut du vide</t>
        </is>
      </c>
      <c r="C47" t="inlineStr">
        <is>
          <t>abyssal</t>
        </is>
      </c>
      <c r="D47" t="n">
        <v>1067</v>
      </c>
      <c r="E47" t="n">
        <v>168</v>
      </c>
      <c r="F47" t="n">
        <v>44</v>
      </c>
      <c r="G47" t="n">
        <v>8</v>
      </c>
      <c r="H47" t="n">
        <v>0</v>
      </c>
      <c r="I47" t="n">
        <v>100</v>
      </c>
      <c r="J47" t="n">
        <v>0</v>
      </c>
      <c r="K47" t="n">
        <v>0</v>
      </c>
      <c r="L47" t="n">
        <v>562</v>
      </c>
      <c r="M47" t="n">
        <v>270</v>
      </c>
      <c r="N47" t="n">
        <v>20</v>
      </c>
      <c r="O47" s="6">
        <f>ROUND((E47*(1+(H47/100)*MAX(0,I47-100)/100)*(1+G47/100))*((D47+F47*'⚙️ Calibrage'!$B$9)/MAX(0.01,1-J47/100))/'⚙️ Calibrage'!$B$10,0)</f>
        <v/>
      </c>
      <c r="P47" s="6">
        <f>IFERROR(VLOOKUP(O47,'⚙️ Calibrage'!$D$2:$E$29,2,TRUE),"?")</f>
        <v/>
      </c>
      <c r="Q47" t="inlineStr"/>
      <c r="R47" t="inlineStr"/>
      <c r="S47" t="inlineStr">
        <is>
          <t>Il ouvre des failles d'où rampent d'autres créatures.</t>
        </is>
      </c>
    </row>
    <row r="48">
      <c r="A48" s="5" t="inlineStr">
        <is>
          <t>kraken_astral</t>
        </is>
      </c>
      <c r="B48" s="5" t="inlineStr">
        <is>
          <t>Kraken astral</t>
        </is>
      </c>
      <c r="C48" s="5" t="inlineStr">
        <is>
          <t>abyssal</t>
        </is>
      </c>
      <c r="D48" s="5" t="n">
        <v>990</v>
      </c>
      <c r="E48" s="5" t="n">
        <v>121</v>
      </c>
      <c r="F48" s="5" t="n">
        <v>60</v>
      </c>
      <c r="G48" s="5" t="n">
        <v>8</v>
      </c>
      <c r="H48" s="5" t="n">
        <v>0</v>
      </c>
      <c r="I48" s="5" t="n">
        <v>100</v>
      </c>
      <c r="J48" s="5" t="n">
        <v>0</v>
      </c>
      <c r="K48" s="5" t="n">
        <v>0</v>
      </c>
      <c r="L48" s="5" t="n">
        <v>581</v>
      </c>
      <c r="M48" s="5" t="n">
        <v>279</v>
      </c>
      <c r="N48" s="5" t="n">
        <v>15</v>
      </c>
      <c r="O48" s="6">
        <f>ROUND((E48*(1+(H48/100)*MAX(0,I48-100)/100)*(1+G48/100))*((D48+F48*'⚙️ Calibrage'!$B$9)/MAX(0.01,1-J48/100))/'⚙️ Calibrage'!$B$10,0)</f>
        <v/>
      </c>
      <c r="P48" s="6">
        <f>IFERROR(VLOOKUP(O48,'⚙️ Calibrage'!$D$2:$E$29,2,TRUE),"?")</f>
        <v/>
      </c>
      <c r="Q48" s="5" t="inlineStr"/>
      <c r="R48" s="5" t="inlineStr"/>
      <c r="S48" s="5" t="inlineStr">
        <is>
          <t>Ses tentacules frappent de toutes parts et engourdissent.</t>
        </is>
      </c>
    </row>
    <row r="49">
      <c r="A49" t="inlineStr">
        <is>
          <t>seraphin_brise</t>
        </is>
      </c>
      <c r="B49" t="inlineStr">
        <is>
          <t>Séraphin brisé</t>
        </is>
      </c>
      <c r="C49" t="inlineStr">
        <is>
          <t>abyssal</t>
        </is>
      </c>
      <c r="D49" t="n">
        <v>906</v>
      </c>
      <c r="E49" t="n">
        <v>270</v>
      </c>
      <c r="F49" t="n">
        <v>23</v>
      </c>
      <c r="G49" t="n">
        <v>8</v>
      </c>
      <c r="H49" t="n">
        <v>0</v>
      </c>
      <c r="I49" t="n">
        <v>100</v>
      </c>
      <c r="J49" t="n">
        <v>0</v>
      </c>
      <c r="K49" t="n">
        <v>0</v>
      </c>
      <c r="L49" t="n">
        <v>600</v>
      </c>
      <c r="M49" t="n">
        <v>288</v>
      </c>
      <c r="N49" t="n">
        <v>10</v>
      </c>
      <c r="O49" s="6">
        <f>ROUND((E49*(1+(H49/100)*MAX(0,I49-100)/100)*(1+G49/100))*((D49+F49*'⚙️ Calibrage'!$B$9)/MAX(0.01,1-J49/100))/'⚙️ Calibrage'!$B$10,0)</f>
        <v/>
      </c>
      <c r="P49" s="6">
        <f>IFERROR(VLOOKUP(O49,'⚙️ Calibrage'!$D$2:$E$29,2,TRUE),"?")</f>
        <v/>
      </c>
      <c r="Q49" t="inlineStr"/>
      <c r="R49" t="inlineStr"/>
      <c r="S49" t="inlineStr">
        <is>
          <t>Un ange tombé dans la faille ; il refuse de mourir.</t>
        </is>
      </c>
    </row>
    <row r="50">
      <c r="A50" s="5" t="inlineStr">
        <is>
          <t>archidemon</t>
        </is>
      </c>
      <c r="B50" s="5" t="inlineStr">
        <is>
          <t>Archidémon</t>
        </is>
      </c>
      <c r="C50" s="5" t="inlineStr">
        <is>
          <t>demoniaque</t>
        </is>
      </c>
      <c r="D50" s="5" t="n">
        <v>18533</v>
      </c>
      <c r="E50" s="5" t="n">
        <v>381</v>
      </c>
      <c r="F50" s="5" t="n">
        <v>62</v>
      </c>
      <c r="G50" s="5" t="n">
        <v>8</v>
      </c>
      <c r="H50" s="5" t="n">
        <v>0</v>
      </c>
      <c r="I50" s="5" t="n">
        <v>100</v>
      </c>
      <c r="J50" s="5" t="n">
        <v>0</v>
      </c>
      <c r="K50" s="5" t="n">
        <v>0</v>
      </c>
      <c r="L50" s="5" t="n">
        <v>1819</v>
      </c>
      <c r="M50" s="5" t="n">
        <v>873</v>
      </c>
      <c r="N50" s="5" t="n">
        <v>4</v>
      </c>
      <c r="O50" s="6">
        <f>ROUND((E50*(1+(H50/100)*MAX(0,I50-100)/100)*(1+G50/100))*((D50+F50*'⚙️ Calibrage'!$B$9)/MAX(0.01,1-J50/100))/'⚙️ Calibrage'!$B$10,0)</f>
        <v/>
      </c>
      <c r="P50" s="6">
        <f>IFERROR(VLOOKUP(O50,'⚙️ Calibrage'!$D$2:$E$29,2,TRUE),"?")</f>
        <v/>
      </c>
      <c r="Q50" s="5" t="inlineStr"/>
      <c r="R50" s="5" t="inlineStr">
        <is>
          <t>archidemon.png</t>
        </is>
      </c>
      <c r="S50" s="5" t="inlineStr">
        <is>
          <t>Seigneur des enfers, apogée de la corruption du Berceau.</t>
        </is>
      </c>
    </row>
    <row r="51">
      <c r="A51" t="inlineStr">
        <is>
          <t>avatar_du_neant</t>
        </is>
      </c>
      <c r="B51" t="inlineStr">
        <is>
          <t>Avatar du Néant</t>
        </is>
      </c>
      <c r="C51" t="inlineStr">
        <is>
          <t>abyssal</t>
        </is>
      </c>
      <c r="D51" t="n">
        <v>21186</v>
      </c>
      <c r="E51" t="n">
        <v>373</v>
      </c>
      <c r="F51" t="n">
        <v>48</v>
      </c>
      <c r="G51" t="n">
        <v>8</v>
      </c>
      <c r="H51" t="n">
        <v>0</v>
      </c>
      <c r="I51" t="n">
        <v>100</v>
      </c>
      <c r="J51" t="n">
        <v>0</v>
      </c>
      <c r="K51" t="n">
        <v>0</v>
      </c>
      <c r="L51" t="n">
        <v>1875</v>
      </c>
      <c r="M51" t="n">
        <v>900</v>
      </c>
      <c r="N51" t="n">
        <v>5</v>
      </c>
      <c r="O51" s="6">
        <f>ROUND((E51*(1+(H51/100)*MAX(0,I51-100)/100)*(1+G51/100))*((D51+F51*'⚙️ Calibrage'!$B$9)/MAX(0.01,1-J51/100))/'⚙️ Calibrage'!$B$10,0)</f>
        <v/>
      </c>
      <c r="P51" s="6">
        <f>IFERROR(VLOOKUP(O51,'⚙️ Calibrage'!$D$2:$E$29,2,TRUE),"?")</f>
        <v/>
      </c>
      <c r="Q51" t="inlineStr"/>
      <c r="R51" t="inlineStr"/>
      <c r="S51" t="inlineStr">
        <is>
          <t>Le vide fait chair. Ses sorts dissolvent toute protection.</t>
        </is>
      </c>
    </row>
  </sheetData>
  <autoFilter ref="A1:S51"/>
  <conditionalFormatting sqref="O2:O51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6" customWidth="1" min="2" max="2"/>
    <col width="12" customWidth="1" min="3" max="3"/>
    <col width="14" customWidth="1" min="4" max="4"/>
    <col width="12" customWidth="1" min="5" max="5"/>
    <col width="12" customWidth="1" min="6" max="6"/>
    <col width="12" customWidth="1" min="7" max="7"/>
    <col width="48" customWidth="1" min="8" max="8"/>
  </cols>
  <sheetData>
    <row r="1" ht="22" customHeight="1">
      <c r="A1" s="3" t="inlineStr">
        <is>
          <t>Code</t>
        </is>
      </c>
      <c r="B1" s="3" t="inlineStr">
        <is>
          <t>Nom</t>
        </is>
      </c>
      <c r="C1" s="3" t="inlineStr">
        <is>
          <t>Rareté</t>
        </is>
      </c>
      <c r="D1" s="3" t="inlineStr">
        <is>
          <t>Effet</t>
        </is>
      </c>
      <c r="E1" s="3" t="inlineStr">
        <is>
          <t>Valeur</t>
        </is>
      </c>
      <c r="F1" s="3" t="inlineStr">
        <is>
          <t>Prix vente</t>
        </is>
      </c>
      <c r="G1" s="3" t="inlineStr">
        <is>
          <t>Prix achat</t>
        </is>
      </c>
      <c r="H1" s="3" t="inlineStr">
        <is>
          <t>Description</t>
        </is>
      </c>
    </row>
    <row r="2">
      <c r="A2" s="5" t="inlineStr">
        <is>
          <t>potion_soin</t>
        </is>
      </c>
      <c r="B2" s="5" t="inlineStr">
        <is>
          <t>Potion de soin</t>
        </is>
      </c>
      <c r="C2" s="5" t="inlineStr">
        <is>
          <t>common</t>
        </is>
      </c>
      <c r="D2" s="5" t="inlineStr">
        <is>
          <t>heal_percent</t>
        </is>
      </c>
      <c r="E2" s="5" t="n">
        <v>10</v>
      </c>
      <c r="F2" s="5" t="n">
        <v>5</v>
      </c>
      <c r="G2" s="5" t="n">
        <v>20</v>
      </c>
      <c r="H2" s="5" t="inlineStr">
        <is>
          <t>Rend 10% des PV max (sans dépasser le maximum).</t>
        </is>
      </c>
    </row>
  </sheetData>
  <autoFilter ref="A1:H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9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48" customWidth="1" min="8" max="8"/>
  </cols>
  <sheetData>
    <row r="1" ht="22" customHeight="1">
      <c r="A1" s="3" t="inlineStr">
        <is>
          <t>Code</t>
        </is>
      </c>
      <c r="B1" s="3" t="inlineStr">
        <is>
          <t>Nom</t>
        </is>
      </c>
      <c r="C1" s="3" t="inlineStr">
        <is>
          <t>Rareté</t>
        </is>
      </c>
      <c r="D1" s="3" t="inlineStr">
        <is>
          <t>Stackable</t>
        </is>
      </c>
      <c r="E1" s="3" t="inlineStr">
        <is>
          <t>Stack max</t>
        </is>
      </c>
      <c r="F1" s="3" t="inlineStr">
        <is>
          <t>Prix vente</t>
        </is>
      </c>
      <c r="G1" s="3" t="inlineStr">
        <is>
          <t>Prix achat</t>
        </is>
      </c>
      <c r="H1" s="3" t="inlineStr">
        <is>
          <t>Description</t>
        </is>
      </c>
    </row>
    <row r="2">
      <c r="A2" s="5" t="inlineStr">
        <is>
          <t>dent_de_gobelin</t>
        </is>
      </c>
      <c r="B2" s="5" t="inlineStr">
        <is>
          <t>Dent de gobelin</t>
        </is>
      </c>
      <c r="C2" s="5" t="inlineStr">
        <is>
          <t>common</t>
        </is>
      </c>
      <c r="D2" s="5" t="inlineStr">
        <is>
          <t>oui</t>
        </is>
      </c>
      <c r="E2" s="5" t="inlineStr">
        <is>
          <t>∞</t>
        </is>
      </c>
      <c r="F2" s="5" t="n">
        <v>0</v>
      </c>
      <c r="G2" s="5" t="n">
        <v>0</v>
      </c>
      <c r="H2" s="5" t="inlineStr"/>
    </row>
    <row r="3">
      <c r="A3" t="inlineStr">
        <is>
          <t>fragment_d_me</t>
        </is>
      </c>
      <c r="B3" t="inlineStr">
        <is>
          <t>Fragment d'âme</t>
        </is>
      </c>
      <c r="C3" t="inlineStr">
        <is>
          <t>common</t>
        </is>
      </c>
      <c r="D3" t="inlineStr">
        <is>
          <t>oui</t>
        </is>
      </c>
      <c r="E3" t="inlineStr">
        <is>
          <t>∞</t>
        </is>
      </c>
      <c r="F3" t="n">
        <v>0</v>
      </c>
      <c r="G3" t="n">
        <v>0</v>
      </c>
      <c r="H3" t="inlineStr"/>
    </row>
    <row r="4">
      <c r="A4" s="5" t="inlineStr">
        <is>
          <t>gel_e</t>
        </is>
      </c>
      <c r="B4" s="5" t="inlineStr">
        <is>
          <t>Gelée</t>
        </is>
      </c>
      <c r="C4" s="5" t="inlineStr">
        <is>
          <t>common</t>
        </is>
      </c>
      <c r="D4" s="5" t="inlineStr">
        <is>
          <t>oui</t>
        </is>
      </c>
      <c r="E4" s="5" t="inlineStr">
        <is>
          <t>∞</t>
        </is>
      </c>
      <c r="F4" s="5" t="n">
        <v>0</v>
      </c>
      <c r="G4" s="5" t="n">
        <v>0</v>
      </c>
      <c r="H4" s="5" t="inlineStr"/>
    </row>
    <row r="5">
      <c r="A5" t="inlineStr">
        <is>
          <t>c_ur_corrompu</t>
        </is>
      </c>
      <c r="B5" t="inlineStr">
        <is>
          <t>Cœur corrompu</t>
        </is>
      </c>
      <c r="C5" t="inlineStr">
        <is>
          <t>common</t>
        </is>
      </c>
      <c r="D5" t="inlineStr">
        <is>
          <t>oui</t>
        </is>
      </c>
      <c r="E5" t="inlineStr">
        <is>
          <t>∞</t>
        </is>
      </c>
      <c r="F5" t="n">
        <v>0</v>
      </c>
      <c r="G5" t="n">
        <v>0</v>
      </c>
      <c r="H5" t="inlineStr"/>
    </row>
    <row r="6">
      <c r="A6" s="5" t="inlineStr">
        <is>
          <t>croc_primordial</t>
        </is>
      </c>
      <c r="B6" s="5" t="inlineStr">
        <is>
          <t>Croc primordial</t>
        </is>
      </c>
      <c r="C6" s="5" t="inlineStr">
        <is>
          <t>common</t>
        </is>
      </c>
      <c r="D6" s="5" t="inlineStr">
        <is>
          <t>oui</t>
        </is>
      </c>
      <c r="E6" s="5" t="inlineStr">
        <is>
          <t>∞</t>
        </is>
      </c>
      <c r="F6" s="5" t="n">
        <v>0</v>
      </c>
      <c r="G6" s="5" t="n">
        <v>0</v>
      </c>
      <c r="H6" s="5" t="inlineStr">
        <is>
          <t>Un croc ancien, encore tiède de la magie du sanctuaire.</t>
        </is>
      </c>
    </row>
    <row r="7">
      <c r="A7" t="inlineStr">
        <is>
          <t>sang_lunaire</t>
        </is>
      </c>
      <c r="B7" t="inlineStr">
        <is>
          <t>Sang lunaire</t>
        </is>
      </c>
      <c r="C7" t="inlineStr">
        <is>
          <t>common</t>
        </is>
      </c>
      <c r="D7" t="inlineStr">
        <is>
          <t>oui</t>
        </is>
      </c>
      <c r="E7" t="inlineStr">
        <is>
          <t>∞</t>
        </is>
      </c>
      <c r="F7" t="n">
        <v>0</v>
      </c>
      <c r="G7" t="n">
        <v>0</v>
      </c>
      <c r="H7" t="inlineStr">
        <is>
          <t>Une goutte de sang qui luit d'un éclat d'argent sous l'éclipse.</t>
        </is>
      </c>
    </row>
    <row r="8">
      <c r="A8" s="5" t="inlineStr">
        <is>
          <t>ecaille_de_dragon</t>
        </is>
      </c>
      <c r="B8" s="5" t="inlineStr">
        <is>
          <t>Écaille de dragon</t>
        </is>
      </c>
      <c r="C8" s="5" t="inlineStr">
        <is>
          <t>common</t>
        </is>
      </c>
      <c r="D8" s="5" t="inlineStr">
        <is>
          <t>oui</t>
        </is>
      </c>
      <c r="E8" s="5" t="inlineStr">
        <is>
          <t>∞</t>
        </is>
      </c>
      <c r="F8" s="5" t="n">
        <v>0</v>
      </c>
      <c r="G8" s="5" t="n">
        <v>0</v>
      </c>
      <c r="H8" s="5" t="inlineStr">
        <is>
          <t>Plus dure que l'acier, encore chaude du souffle qui l'a forgée.</t>
        </is>
      </c>
    </row>
    <row r="9">
      <c r="A9" t="inlineStr">
        <is>
          <t>eclat_du_neant</t>
        </is>
      </c>
      <c r="B9" t="inlineStr">
        <is>
          <t>Éclat du néant</t>
        </is>
      </c>
      <c r="C9" t="inlineStr">
        <is>
          <t>common</t>
        </is>
      </c>
      <c r="D9" t="inlineStr">
        <is>
          <t>oui</t>
        </is>
      </c>
      <c r="E9" t="inlineStr">
        <is>
          <t>∞</t>
        </is>
      </c>
      <c r="F9" t="n">
        <v>0</v>
      </c>
      <c r="G9" t="n">
        <v>0</v>
      </c>
      <c r="H9" t="inlineStr">
        <is>
          <t>Un fragment de vide solidifié. Il semble aspirer la lumière.</t>
        </is>
      </c>
    </row>
  </sheetData>
  <autoFilter ref="A1:H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6" customWidth="1" min="2" max="2"/>
    <col width="12" customWidth="1" min="3" max="3"/>
    <col width="12" customWidth="1" min="4" max="4"/>
    <col width="16" customWidth="1" min="5" max="5"/>
    <col width="16" customWidth="1" min="6" max="6"/>
    <col width="13" customWidth="1" min="7" max="7"/>
    <col width="12" customWidth="1" min="8" max="8"/>
  </cols>
  <sheetData>
    <row r="1" ht="22" customHeight="1">
      <c r="A1" s="3" t="inlineStr">
        <is>
          <t>Code item</t>
        </is>
      </c>
      <c r="B1" s="3" t="inlineStr">
        <is>
          <t>Nom</t>
        </is>
      </c>
      <c r="C1" s="3" t="inlineStr">
        <is>
          <t>Catégorie</t>
        </is>
      </c>
      <c r="D1" s="3" t="inlineStr">
        <is>
          <t>Prix achat</t>
        </is>
      </c>
      <c r="E1" s="3" t="inlineStr">
        <is>
          <t>Prix vente max</t>
        </is>
      </c>
      <c r="F1" s="3" t="inlineStr">
        <is>
          <t>Prix vente min</t>
        </is>
      </c>
      <c r="G1" s="3" t="inlineStr">
        <is>
          <t>Seuil stock</t>
        </is>
      </c>
      <c r="H1" s="3" t="inlineStr">
        <is>
          <t>Activé</t>
        </is>
      </c>
    </row>
    <row r="2">
      <c r="A2" s="5" t="inlineStr">
        <is>
          <t>potion_soin</t>
        </is>
      </c>
      <c r="B2" s="5" t="inlineStr">
        <is>
          <t>Potion de soin</t>
        </is>
      </c>
      <c r="C2" s="5" t="inlineStr">
        <is>
          <t>consumable</t>
        </is>
      </c>
      <c r="D2" s="5" t="n">
        <v>20</v>
      </c>
      <c r="E2" s="5" t="n">
        <v>5</v>
      </c>
      <c r="F2" s="5" t="n">
        <v>2</v>
      </c>
      <c r="G2" s="5" t="n">
        <v>100</v>
      </c>
      <c r="H2" s="5" t="inlineStr">
        <is>
          <t>oui</t>
        </is>
      </c>
    </row>
  </sheetData>
  <autoFilter ref="A1:H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8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12" customWidth="1" min="3" max="3"/>
    <col width="16" customWidth="1" min="4" max="4"/>
    <col width="12" customWidth="1" min="5" max="5"/>
    <col width="12" customWidth="1" min="6" max="6"/>
    <col width="14" customWidth="1" min="7" max="7"/>
    <col width="39" customWidth="1" min="8" max="8"/>
    <col width="44" customWidth="1" min="9" max="9"/>
    <col width="12" customWidth="1" min="10" max="10"/>
    <col width="12" customWidth="1" min="11" max="11"/>
    <col width="12" customWidth="1" min="12" max="12"/>
    <col width="48" customWidth="1" min="13" max="13"/>
  </cols>
  <sheetData>
    <row r="1" ht="22" customHeight="1">
      <c r="A1" s="3" t="inlineStr">
        <is>
          <t>Code</t>
        </is>
      </c>
      <c r="B1" s="3" t="inlineStr">
        <is>
          <t>Nom</t>
        </is>
      </c>
      <c r="C1" s="3" t="inlineStr">
        <is>
          <t>Type</t>
        </is>
      </c>
      <c r="D1" s="3" t="inlineStr">
        <is>
          <t>Forme</t>
        </is>
      </c>
      <c r="E1" s="3" t="inlineStr">
        <is>
          <t>Départ</t>
        </is>
      </c>
      <c r="F1" s="3" t="inlineStr">
        <is>
          <t>Niveau max</t>
        </is>
      </c>
      <c r="G1" s="3" t="inlineStr">
        <is>
          <t>Coûts/niveau</t>
        </is>
      </c>
      <c r="H1" s="3" t="inlineStr">
        <is>
          <t>Effets</t>
        </is>
      </c>
      <c r="I1" s="3" t="inlineStr">
        <is>
          <t>Prérequis</t>
        </is>
      </c>
      <c r="J1" s="3" t="inlineStr">
        <is>
          <t>Règle</t>
        </is>
      </c>
      <c r="K1" s="3" t="inlineStr">
        <is>
          <t>Position</t>
        </is>
      </c>
      <c r="L1" s="3" t="inlineStr">
        <is>
          <t>Icône</t>
        </is>
      </c>
      <c r="M1" s="3" t="inlineStr">
        <is>
          <t>Description</t>
        </is>
      </c>
    </row>
    <row r="2">
      <c r="A2" s="5" t="inlineStr">
        <is>
          <t>racine_combat</t>
        </is>
      </c>
      <c r="B2" s="5" t="inlineStr">
        <is>
          <t>Aventurier</t>
        </is>
      </c>
      <c r="C2" s="5" t="inlineStr">
        <is>
          <t>Départ</t>
        </is>
      </c>
      <c r="D2" s="5" t="inlineStr">
        <is>
          <t>Départ</t>
        </is>
      </c>
      <c r="E2" s="5" t="inlineStr">
        <is>
          <t>oui</t>
        </is>
      </c>
      <c r="F2" s="5" t="n">
        <v>1</v>
      </c>
      <c r="G2" s="5" t="inlineStr">
        <is>
          <t>0</t>
        </is>
      </c>
      <c r="H2" s="5" t="inlineStr">
        <is>
          <t>—</t>
        </is>
      </c>
      <c r="I2" s="5" t="inlineStr">
        <is>
          <t>départ</t>
        </is>
      </c>
      <c r="J2" s="5" t="inlineStr"/>
      <c r="K2" s="5" t="inlineStr">
        <is>
          <t>-80, 450</t>
        </is>
      </c>
      <c r="L2" s="5" t="inlineStr">
        <is>
          <t>⭐</t>
        </is>
      </c>
      <c r="M2" s="5" t="inlineStr">
        <is>
          <t>Le commencement. Les trois voies de combat partent d'ici.</t>
        </is>
      </c>
    </row>
    <row r="3">
      <c r="A3" t="inlineStr">
        <is>
          <t>voie_attaque</t>
        </is>
      </c>
      <c r="B3" t="inlineStr">
        <is>
          <t>Voie du Guerrier</t>
        </is>
      </c>
      <c r="C3" t="inlineStr">
        <is>
          <t>Attaque</t>
        </is>
      </c>
      <c r="D3" t="inlineStr">
        <is>
          <t>Voies</t>
        </is>
      </c>
      <c r="E3" t="inlineStr"/>
      <c r="F3" t="n">
        <v>1</v>
      </c>
      <c r="G3" t="inlineStr">
        <is>
          <t>1</t>
        </is>
      </c>
      <c r="H3" t="inlineStr">
        <is>
          <t>atk_percent → [5]</t>
        </is>
      </c>
      <c r="I3" t="inlineStr">
        <is>
          <t>Aventurier</t>
        </is>
      </c>
      <c r="J3" t="inlineStr"/>
      <c r="K3" t="inlineStr">
        <is>
          <t>-80, 260</t>
        </is>
      </c>
      <c r="L3" t="inlineStr">
        <is>
          <t>⚔️</t>
        </is>
      </c>
      <c r="M3" t="inlineStr"/>
    </row>
    <row r="4">
      <c r="A4" s="5" t="inlineStr">
        <is>
          <t>voie_defense</t>
        </is>
      </c>
      <c r="B4" s="5" t="inlineStr">
        <is>
          <t>Voie du Protecteur</t>
        </is>
      </c>
      <c r="C4" s="5" t="inlineStr">
        <is>
          <t>Défense</t>
        </is>
      </c>
      <c r="D4" s="5" t="inlineStr">
        <is>
          <t>Voies</t>
        </is>
      </c>
      <c r="E4" s="5" t="inlineStr"/>
      <c r="F4" s="5" t="n">
        <v>1</v>
      </c>
      <c r="G4" s="5" t="inlineStr">
        <is>
          <t>1</t>
        </is>
      </c>
      <c r="H4" s="5" t="inlineStr">
        <is>
          <t>def_percent → [5]</t>
        </is>
      </c>
      <c r="I4" s="5" t="inlineStr">
        <is>
          <t>Aventurier</t>
        </is>
      </c>
      <c r="J4" s="5" t="inlineStr"/>
      <c r="K4" s="5" t="inlineStr">
        <is>
          <t>85, 545</t>
        </is>
      </c>
      <c r="L4" s="5" t="inlineStr">
        <is>
          <t>🛡️</t>
        </is>
      </c>
      <c r="M4" s="5" t="inlineStr"/>
    </row>
    <row r="5">
      <c r="A5" t="inlineStr">
        <is>
          <t>voie_support</t>
        </is>
      </c>
      <c r="B5" t="inlineStr">
        <is>
          <t>Voie du Support</t>
        </is>
      </c>
      <c r="C5" t="inlineStr">
        <is>
          <t>Support</t>
        </is>
      </c>
      <c r="D5" t="inlineStr">
        <is>
          <t>Voies</t>
        </is>
      </c>
      <c r="E5" t="inlineStr"/>
      <c r="F5" t="n">
        <v>1</v>
      </c>
      <c r="G5" t="inlineStr">
        <is>
          <t>1</t>
        </is>
      </c>
      <c r="H5" t="inlineStr">
        <is>
          <t>hp_max_percent → [5]</t>
        </is>
      </c>
      <c r="I5" t="inlineStr">
        <is>
          <t>Aventurier</t>
        </is>
      </c>
      <c r="J5" t="inlineStr"/>
      <c r="K5" t="inlineStr">
        <is>
          <t>-245, 545</t>
        </is>
      </c>
      <c r="L5" t="inlineStr">
        <is>
          <t>❤️</t>
        </is>
      </c>
      <c r="M5" t="inlineStr"/>
    </row>
    <row r="6">
      <c r="A6" s="5" t="inlineStr">
        <is>
          <t>classe_combattant</t>
        </is>
      </c>
      <c r="B6" s="5" t="inlineStr">
        <is>
          <t>Combattant</t>
        </is>
      </c>
      <c r="C6" s="5" t="inlineStr">
        <is>
          <t>Classe</t>
        </is>
      </c>
      <c r="D6" s="5" t="inlineStr">
        <is>
          <t>Classes</t>
        </is>
      </c>
      <c r="E6" s="5" t="inlineStr"/>
      <c r="F6" s="5" t="n">
        <v>1</v>
      </c>
      <c r="G6" s="5" t="inlineStr">
        <is>
          <t>2</t>
        </is>
      </c>
      <c r="H6" s="7" t="inlineStr">
        <is>
          <t>grant_class → [combattant]
hp_max_percent → [5]
atk_percent → [5]</t>
        </is>
      </c>
      <c r="I6" s="5" t="inlineStr">
        <is>
          <t>Attaque, Deg. Crit., Défense, Régénération</t>
        </is>
      </c>
      <c r="J6" s="5" t="inlineStr">
        <is>
          <t>toutes</t>
        </is>
      </c>
      <c r="K6" s="5" t="inlineStr">
        <is>
          <t>249, 260</t>
        </is>
      </c>
      <c r="L6" s="5" t="inlineStr">
        <is>
          <t>👊</t>
        </is>
      </c>
      <c r="M6" s="5" t="inlineStr">
        <is>
          <t>Classe Combattant : +5 % de PV max et +5 % d'attaque.</t>
        </is>
      </c>
    </row>
    <row r="7">
      <c r="A7" t="inlineStr">
        <is>
          <t>classe_paladin</t>
        </is>
      </c>
      <c r="B7" t="inlineStr">
        <is>
          <t>Paladin</t>
        </is>
      </c>
      <c r="C7" t="inlineStr">
        <is>
          <t>Classe</t>
        </is>
      </c>
      <c r="D7" t="inlineStr">
        <is>
          <t>Classes</t>
        </is>
      </c>
      <c r="E7" t="inlineStr"/>
      <c r="F7" t="n">
        <v>1</v>
      </c>
      <c r="G7" t="inlineStr">
        <is>
          <t>2</t>
        </is>
      </c>
      <c r="H7" s="8" t="inlineStr">
        <is>
          <t>grant_class → [paladin]
heal_received_percent → [50]
def_percent → [5]</t>
        </is>
      </c>
      <c r="I7" t="inlineStr">
        <is>
          <t>PV, Défense, Régénération, Rég. Mana</t>
        </is>
      </c>
      <c r="J7" t="inlineStr">
        <is>
          <t>toutes</t>
        </is>
      </c>
      <c r="K7" t="inlineStr">
        <is>
          <t>-80, 830</t>
        </is>
      </c>
      <c r="L7" t="inlineStr">
        <is>
          <t>🏰</t>
        </is>
      </c>
      <c r="M7" t="inlineStr">
        <is>
          <t>Classe Paladin : soins reçus +50 % et +5 % de défense.</t>
        </is>
      </c>
    </row>
    <row r="8">
      <c r="A8" s="5" t="inlineStr">
        <is>
          <t>classe_vampire</t>
        </is>
      </c>
      <c r="B8" s="5" t="inlineStr">
        <is>
          <t>Vampire</t>
        </is>
      </c>
      <c r="C8" s="5" t="inlineStr">
        <is>
          <t>Classe</t>
        </is>
      </c>
      <c r="D8" s="5" t="inlineStr">
        <is>
          <t>Classes</t>
        </is>
      </c>
      <c r="E8" s="5" t="inlineStr"/>
      <c r="F8" s="5" t="n">
        <v>1</v>
      </c>
      <c r="G8" s="5" t="inlineStr">
        <is>
          <t>2</t>
        </is>
      </c>
      <c r="H8" s="7" t="inlineStr">
        <is>
          <t>grant_class → [vampire]
lifesteal_percent → [5]</t>
        </is>
      </c>
      <c r="I8" s="5" t="inlineStr">
        <is>
          <t>Attaque, Deg. Crit., PV, Rég. Mana</t>
        </is>
      </c>
      <c r="J8" s="5" t="inlineStr">
        <is>
          <t>toutes</t>
        </is>
      </c>
      <c r="K8" s="5" t="inlineStr">
        <is>
          <t>-409, 260</t>
        </is>
      </c>
      <c r="L8" s="5" t="inlineStr">
        <is>
          <t>🧛</t>
        </is>
      </c>
      <c r="M8" s="5" t="inlineStr">
        <is>
          <t>Classe Vampire : se soigne de 5 % des dégâts infligés.</t>
        </is>
      </c>
    </row>
    <row r="9">
      <c r="A9" t="inlineStr">
        <is>
          <t>racine_explorateur</t>
        </is>
      </c>
      <c r="B9" t="inlineStr">
        <is>
          <t>Explorateur</t>
        </is>
      </c>
      <c r="C9" t="inlineStr">
        <is>
          <t>Départ</t>
        </is>
      </c>
      <c r="D9" t="inlineStr">
        <is>
          <t>Départ</t>
        </is>
      </c>
      <c r="E9" t="inlineStr">
        <is>
          <t>oui</t>
        </is>
      </c>
      <c r="F9" t="n">
        <v>1</v>
      </c>
      <c r="G9" t="inlineStr">
        <is>
          <t>0</t>
        </is>
      </c>
      <c r="H9" t="inlineStr">
        <is>
          <t>—</t>
        </is>
      </c>
      <c r="I9" t="inlineStr">
        <is>
          <t>départ</t>
        </is>
      </c>
      <c r="J9" t="inlineStr"/>
      <c r="K9" t="inlineStr">
        <is>
          <t>1090, -230</t>
        </is>
      </c>
      <c r="L9" t="inlineStr">
        <is>
          <t>🧭</t>
        </is>
      </c>
      <c r="M9" t="inlineStr">
        <is>
          <t>La voie de l'explorateur.</t>
        </is>
      </c>
    </row>
    <row r="10">
      <c r="A10" s="5" t="inlineStr">
        <is>
          <t>axe_or</t>
        </is>
      </c>
      <c r="B10" s="5" t="inlineStr">
        <is>
          <t>Bonus Or</t>
        </is>
      </c>
      <c r="C10" s="5" t="inlineStr">
        <is>
          <t>Utilité</t>
        </is>
      </c>
      <c r="D10" s="5" t="inlineStr">
        <is>
          <t>Passives</t>
        </is>
      </c>
      <c r="E10" s="5" t="inlineStr"/>
      <c r="F10" s="5" t="n">
        <v>3</v>
      </c>
      <c r="G10" s="5" t="inlineStr">
        <is>
          <t>1,2,3</t>
        </is>
      </c>
      <c r="H10" s="5" t="inlineStr">
        <is>
          <t>gold_drop_percent → [1,4,10]</t>
        </is>
      </c>
      <c r="I10" s="5" t="inlineStr">
        <is>
          <t>Explorateur</t>
        </is>
      </c>
      <c r="J10" s="5" t="inlineStr"/>
      <c r="K10" s="5" t="inlineStr">
        <is>
          <t>1224, -96</t>
        </is>
      </c>
      <c r="L10" s="5" t="inlineStr">
        <is>
          <t>💰</t>
        </is>
      </c>
      <c r="M10" s="5" t="inlineStr"/>
    </row>
    <row r="11">
      <c r="A11" t="inlineStr">
        <is>
          <t>axe_drop</t>
        </is>
      </c>
      <c r="B11" t="inlineStr">
        <is>
          <t>Chance Drop</t>
        </is>
      </c>
      <c r="C11" t="inlineStr">
        <is>
          <t>Utilité</t>
        </is>
      </c>
      <c r="D11" t="inlineStr">
        <is>
          <t>Passives</t>
        </is>
      </c>
      <c r="E11" t="inlineStr"/>
      <c r="F11" t="n">
        <v>3</v>
      </c>
      <c r="G11" t="inlineStr">
        <is>
          <t>1,2,3</t>
        </is>
      </c>
      <c r="H11" t="inlineStr">
        <is>
          <t>drop_rate_multiplier → [10,40,100]</t>
        </is>
      </c>
      <c r="I11" t="inlineStr">
        <is>
          <t>Bonus Or, Bonus XP</t>
        </is>
      </c>
      <c r="J11" t="inlineStr">
        <is>
          <t>toutes</t>
        </is>
      </c>
      <c r="K11" t="inlineStr">
        <is>
          <t>1090, 55</t>
        </is>
      </c>
      <c r="L11" t="inlineStr">
        <is>
          <t>🍀</t>
        </is>
      </c>
      <c r="M11" t="inlineStr"/>
    </row>
    <row r="12">
      <c r="A12" s="5" t="inlineStr">
        <is>
          <t>axe_xp</t>
        </is>
      </c>
      <c r="B12" s="5" t="inlineStr">
        <is>
          <t>Bonus XP</t>
        </is>
      </c>
      <c r="C12" s="5" t="inlineStr">
        <is>
          <t>Utilité</t>
        </is>
      </c>
      <c r="D12" s="5" t="inlineStr">
        <is>
          <t>Passives</t>
        </is>
      </c>
      <c r="E12" s="5" t="inlineStr"/>
      <c r="F12" s="5" t="n">
        <v>3</v>
      </c>
      <c r="G12" s="5" t="inlineStr">
        <is>
          <t>1,2,3</t>
        </is>
      </c>
      <c r="H12" s="5" t="inlineStr">
        <is>
          <t>xp_drop_percent → [1,4,10]</t>
        </is>
      </c>
      <c r="I12" s="5" t="inlineStr">
        <is>
          <t>Explorateur</t>
        </is>
      </c>
      <c r="J12" s="5" t="inlineStr"/>
      <c r="K12" s="5" t="inlineStr">
        <is>
          <t>956, -96</t>
        </is>
      </c>
      <c r="L12" s="5" t="inlineStr">
        <is>
          <t>⚡</t>
        </is>
      </c>
      <c r="M12" s="5" t="inlineStr"/>
    </row>
    <row r="13">
      <c r="A13" t="inlineStr">
        <is>
          <t>axe_confort</t>
        </is>
      </c>
      <c r="B13" t="inlineStr">
        <is>
          <t>Confort</t>
        </is>
      </c>
      <c r="C13" t="inlineStr">
        <is>
          <t>Utilité</t>
        </is>
      </c>
      <c r="D13" t="inlineStr">
        <is>
          <t>Passives</t>
        </is>
      </c>
      <c r="E13" t="inlineStr"/>
      <c r="F13" t="n">
        <v>1</v>
      </c>
      <c r="G13" t="inlineStr">
        <is>
          <t>1</t>
        </is>
      </c>
      <c r="H13" t="inlineStr">
        <is>
          <t>unlock_feature → [notify_cooldowns]</t>
        </is>
      </c>
      <c r="I13" t="inlineStr">
        <is>
          <t>Chance Drop</t>
        </is>
      </c>
      <c r="J13" t="inlineStr"/>
      <c r="K13" t="inlineStr">
        <is>
          <t>1090, 245</t>
        </is>
      </c>
      <c r="L13" t="inlineStr">
        <is>
          <t>🎁</t>
        </is>
      </c>
      <c r="M13" t="inlineStr">
        <is>
          <t>Reçois un message privé quand un de tes temps de recharge est terminé.</t>
        </is>
      </c>
    </row>
    <row r="14">
      <c r="A14" s="5" t="inlineStr">
        <is>
          <t>passif_1</t>
        </is>
      </c>
      <c r="B14" s="5" t="inlineStr">
        <is>
          <t>PV</t>
        </is>
      </c>
      <c r="C14" s="5" t="inlineStr">
        <is>
          <t>Support</t>
        </is>
      </c>
      <c r="D14" s="5" t="inlineStr">
        <is>
          <t>Stats</t>
        </is>
      </c>
      <c r="E14" s="5" t="inlineStr"/>
      <c r="F14" s="5" t="n">
        <v>1</v>
      </c>
      <c r="G14" s="5" t="inlineStr">
        <is>
          <t>3</t>
        </is>
      </c>
      <c r="H14" s="5" t="inlineStr">
        <is>
          <t>hp_max_percent → [1]</t>
        </is>
      </c>
      <c r="I14" s="5" t="inlineStr">
        <is>
          <t>Voie du Support</t>
        </is>
      </c>
      <c r="J14" s="5" t="inlineStr"/>
      <c r="K14" s="5" t="inlineStr">
        <is>
          <t>-409, 640</t>
        </is>
      </c>
      <c r="L14" s="5" t="inlineStr">
        <is>
          <t>❤️</t>
        </is>
      </c>
      <c r="M14" s="5" t="inlineStr"/>
    </row>
    <row r="15">
      <c r="A15" t="inlineStr">
        <is>
          <t>passif_4</t>
        </is>
      </c>
      <c r="B15" t="inlineStr">
        <is>
          <t>Vitesse</t>
        </is>
      </c>
      <c r="C15" t="inlineStr">
        <is>
          <t>Support</t>
        </is>
      </c>
      <c r="D15" t="inlineStr">
        <is>
          <t>Stats Avancées</t>
        </is>
      </c>
      <c r="E15" t="inlineStr"/>
      <c r="F15" t="n">
        <v>1</v>
      </c>
      <c r="G15" t="inlineStr">
        <is>
          <t>3</t>
        </is>
      </c>
      <c r="H15" t="inlineStr">
        <is>
          <t>speed_flat → [0.5]</t>
        </is>
      </c>
      <c r="I15" t="inlineStr">
        <is>
          <t>PV</t>
        </is>
      </c>
      <c r="J15" t="inlineStr"/>
      <c r="K15" t="inlineStr">
        <is>
          <t>-416, 786</t>
        </is>
      </c>
      <c r="L15" t="inlineStr">
        <is>
          <t>💨</t>
        </is>
      </c>
      <c r="M15" t="inlineStr"/>
    </row>
    <row r="16">
      <c r="A16" s="5" t="inlineStr">
        <is>
          <t>passif_5</t>
        </is>
      </c>
      <c r="B16" s="5" t="inlineStr">
        <is>
          <t>Vitesse</t>
        </is>
      </c>
      <c r="C16" s="5" t="inlineStr">
        <is>
          <t>Support</t>
        </is>
      </c>
      <c r="D16" s="5" t="inlineStr">
        <is>
          <t>Stats Avancées</t>
        </is>
      </c>
      <c r="E16" s="5" t="inlineStr"/>
      <c r="F16" s="5" t="n">
        <v>1</v>
      </c>
      <c r="G16" s="5" t="inlineStr">
        <is>
          <t>3</t>
        </is>
      </c>
      <c r="H16" s="5" t="inlineStr">
        <is>
          <t>speed_flat → [0.5]</t>
        </is>
      </c>
      <c r="I16" s="5" t="inlineStr">
        <is>
          <t>PV</t>
        </is>
      </c>
      <c r="J16" s="5" t="inlineStr"/>
      <c r="K16" s="5" t="inlineStr">
        <is>
          <t>-539, 573</t>
        </is>
      </c>
      <c r="L16" s="5" t="inlineStr">
        <is>
          <t>💨</t>
        </is>
      </c>
      <c r="M16" s="5" t="inlineStr"/>
    </row>
    <row r="17">
      <c r="A17" t="inlineStr">
        <is>
          <t>passif_6</t>
        </is>
      </c>
      <c r="B17" t="inlineStr">
        <is>
          <t>PV</t>
        </is>
      </c>
      <c r="C17" t="inlineStr">
        <is>
          <t>Support</t>
        </is>
      </c>
      <c r="D17" t="inlineStr">
        <is>
          <t>Stats</t>
        </is>
      </c>
      <c r="E17" t="inlineStr"/>
      <c r="F17" t="n">
        <v>1</v>
      </c>
      <c r="G17" t="inlineStr">
        <is>
          <t>3</t>
        </is>
      </c>
      <c r="H17" t="inlineStr">
        <is>
          <t>hp_max_percent → [1]</t>
        </is>
      </c>
      <c r="I17" t="inlineStr">
        <is>
          <t>Vitesse</t>
        </is>
      </c>
      <c r="J17" t="inlineStr"/>
      <c r="K17" t="inlineStr">
        <is>
          <t>-650, 450</t>
        </is>
      </c>
      <c r="L17" t="inlineStr">
        <is>
          <t>❤️</t>
        </is>
      </c>
      <c r="M17" t="inlineStr"/>
    </row>
    <row r="18">
      <c r="A18" s="5" t="inlineStr">
        <is>
          <t>passif_7</t>
        </is>
      </c>
      <c r="B18" s="5" t="inlineStr">
        <is>
          <t>PV</t>
        </is>
      </c>
      <c r="C18" s="5" t="inlineStr">
        <is>
          <t>Support</t>
        </is>
      </c>
      <c r="D18" s="5" t="inlineStr">
        <is>
          <t>Stats</t>
        </is>
      </c>
      <c r="E18" s="5" t="inlineStr"/>
      <c r="F18" s="5" t="n">
        <v>1</v>
      </c>
      <c r="G18" s="5" t="inlineStr">
        <is>
          <t>3</t>
        </is>
      </c>
      <c r="H18" s="5" t="inlineStr">
        <is>
          <t>hp_max_percent → [1]</t>
        </is>
      </c>
      <c r="I18" s="5" t="inlineStr">
        <is>
          <t>Vitesse</t>
        </is>
      </c>
      <c r="J18" s="5" t="inlineStr"/>
      <c r="K18" s="5" t="inlineStr">
        <is>
          <t>-366, 943</t>
        </is>
      </c>
      <c r="L18" s="5" t="inlineStr">
        <is>
          <t>❤️</t>
        </is>
      </c>
      <c r="M18" s="5" t="inlineStr"/>
    </row>
    <row r="19">
      <c r="A19" t="inlineStr">
        <is>
          <t>passif_8</t>
        </is>
      </c>
      <c r="B19" t="inlineStr">
        <is>
          <t>PV</t>
        </is>
      </c>
      <c r="C19" t="inlineStr">
        <is>
          <t>Support</t>
        </is>
      </c>
      <c r="D19" t="inlineStr">
        <is>
          <t>Stats</t>
        </is>
      </c>
      <c r="E19" t="inlineStr"/>
      <c r="F19" t="n">
        <v>1</v>
      </c>
      <c r="G19" t="inlineStr">
        <is>
          <t>3</t>
        </is>
      </c>
      <c r="H19" t="inlineStr">
        <is>
          <t>hp_max_percent → [1]</t>
        </is>
      </c>
      <c r="I19" t="inlineStr">
        <is>
          <t>Voie du Support</t>
        </is>
      </c>
      <c r="J19" t="inlineStr"/>
      <c r="K19" t="inlineStr">
        <is>
          <t>-222, 697</t>
        </is>
      </c>
      <c r="L19" t="inlineStr">
        <is>
          <t>❤️</t>
        </is>
      </c>
      <c r="M19" t="inlineStr"/>
    </row>
    <row r="20">
      <c r="A20" s="5" t="inlineStr">
        <is>
          <t>passif_9</t>
        </is>
      </c>
      <c r="B20" s="5" t="inlineStr">
        <is>
          <t>PV</t>
        </is>
      </c>
      <c r="C20" s="5" t="inlineStr">
        <is>
          <t>Support</t>
        </is>
      </c>
      <c r="D20" s="5" t="inlineStr">
        <is>
          <t>Stats</t>
        </is>
      </c>
      <c r="E20" s="5" t="inlineStr"/>
      <c r="F20" s="5" t="n">
        <v>1</v>
      </c>
      <c r="G20" s="5" t="inlineStr">
        <is>
          <t>3</t>
        </is>
      </c>
      <c r="H20" s="5" t="inlineStr">
        <is>
          <t>hp_max_percent → [1]</t>
        </is>
      </c>
      <c r="I20" s="5" t="inlineStr">
        <is>
          <t>Voie du Support</t>
        </is>
      </c>
      <c r="J20" s="5" t="inlineStr"/>
      <c r="K20" s="5" t="inlineStr">
        <is>
          <t>-365, 450</t>
        </is>
      </c>
      <c r="L20" s="5" t="inlineStr">
        <is>
          <t>❤️</t>
        </is>
      </c>
      <c r="M20" s="5" t="inlineStr"/>
    </row>
    <row r="21">
      <c r="A21" t="inlineStr">
        <is>
          <t>stat_1</t>
        </is>
      </c>
      <c r="B21" t="inlineStr">
        <is>
          <t>Défense</t>
        </is>
      </c>
      <c r="C21" t="inlineStr">
        <is>
          <t>Défense</t>
        </is>
      </c>
      <c r="D21" t="inlineStr">
        <is>
          <t>Stats</t>
        </is>
      </c>
      <c r="E21" t="inlineStr"/>
      <c r="F21" t="n">
        <v>1</v>
      </c>
      <c r="G21" t="inlineStr">
        <is>
          <t>3</t>
        </is>
      </c>
      <c r="H21" t="inlineStr">
        <is>
          <t>def_percent → [1]</t>
        </is>
      </c>
      <c r="I21" t="inlineStr">
        <is>
          <t>Voie du Protecteur</t>
        </is>
      </c>
      <c r="J21" t="inlineStr"/>
      <c r="K21" t="inlineStr">
        <is>
          <t>249, 640</t>
        </is>
      </c>
      <c r="L21" t="inlineStr">
        <is>
          <t>🛡️</t>
        </is>
      </c>
      <c r="M21" t="inlineStr"/>
    </row>
    <row r="22">
      <c r="A22" s="5" t="inlineStr">
        <is>
          <t>actif_1</t>
        </is>
      </c>
      <c r="B22" s="5" t="inlineStr">
        <is>
          <t>Attaque</t>
        </is>
      </c>
      <c r="C22" s="5" t="inlineStr">
        <is>
          <t>Attaque</t>
        </is>
      </c>
      <c r="D22" s="5" t="inlineStr">
        <is>
          <t>Stats</t>
        </is>
      </c>
      <c r="E22" s="5" t="inlineStr"/>
      <c r="F22" s="5" t="n">
        <v>1</v>
      </c>
      <c r="G22" s="5" t="inlineStr">
        <is>
          <t>3</t>
        </is>
      </c>
      <c r="H22" s="5" t="inlineStr">
        <is>
          <t>atk_percent → [1]</t>
        </is>
      </c>
      <c r="I22" s="5" t="inlineStr">
        <is>
          <t>Voie du Guerrier</t>
        </is>
      </c>
      <c r="J22" s="5" t="inlineStr"/>
      <c r="K22" s="5" t="inlineStr">
        <is>
          <t>-80, 70</t>
        </is>
      </c>
      <c r="L22" s="5" t="inlineStr">
        <is>
          <t>⚔️</t>
        </is>
      </c>
      <c r="M22" s="5" t="inlineStr"/>
    </row>
    <row r="23">
      <c r="A23" t="inlineStr">
        <is>
          <t>actif_2</t>
        </is>
      </c>
      <c r="B23" t="inlineStr">
        <is>
          <t>Attaque</t>
        </is>
      </c>
      <c r="C23" t="inlineStr">
        <is>
          <t>Attaque</t>
        </is>
      </c>
      <c r="D23" t="inlineStr">
        <is>
          <t>Stats</t>
        </is>
      </c>
      <c r="E23" t="inlineStr"/>
      <c r="F23" t="n">
        <v>1</v>
      </c>
      <c r="G23" t="inlineStr">
        <is>
          <t>3</t>
        </is>
      </c>
      <c r="H23" t="inlineStr">
        <is>
          <t>atk_percent → [1]</t>
        </is>
      </c>
      <c r="I23" t="inlineStr">
        <is>
          <t>Voie du Guerrier</t>
        </is>
      </c>
      <c r="J23" t="inlineStr"/>
      <c r="K23" t="inlineStr">
        <is>
          <t>-222, 203</t>
        </is>
      </c>
      <c r="L23" t="inlineStr">
        <is>
          <t>⚔️</t>
        </is>
      </c>
      <c r="M23" t="inlineStr"/>
    </row>
    <row r="24">
      <c r="A24" s="5" t="inlineStr">
        <is>
          <t>actif_3</t>
        </is>
      </c>
      <c r="B24" s="5" t="inlineStr">
        <is>
          <t>Attaque</t>
        </is>
      </c>
      <c r="C24" s="5" t="inlineStr">
        <is>
          <t>Attaque</t>
        </is>
      </c>
      <c r="D24" s="5" t="inlineStr">
        <is>
          <t>Stats</t>
        </is>
      </c>
      <c r="E24" s="5" t="inlineStr"/>
      <c r="F24" s="5" t="n">
        <v>1</v>
      </c>
      <c r="G24" s="5" t="inlineStr">
        <is>
          <t>3</t>
        </is>
      </c>
      <c r="H24" s="5" t="inlineStr">
        <is>
          <t>atk_percent → [1]</t>
        </is>
      </c>
      <c r="I24" s="5" t="inlineStr">
        <is>
          <t>Voie du Guerrier</t>
        </is>
      </c>
      <c r="J24" s="5" t="inlineStr"/>
      <c r="K24" s="5" t="inlineStr">
        <is>
          <t>63, 203</t>
        </is>
      </c>
      <c r="L24" s="5" t="inlineStr">
        <is>
          <t>⚔️</t>
        </is>
      </c>
      <c r="M24" s="5" t="inlineStr"/>
    </row>
    <row r="25">
      <c r="A25" t="inlineStr">
        <is>
          <t>actif_6</t>
        </is>
      </c>
      <c r="B25" t="inlineStr">
        <is>
          <t>Vitesse</t>
        </is>
      </c>
      <c r="C25" t="inlineStr">
        <is>
          <t>Attaque</t>
        </is>
      </c>
      <c r="D25" t="inlineStr">
        <is>
          <t>Stats Avancées</t>
        </is>
      </c>
      <c r="E25" t="inlineStr"/>
      <c r="F25" t="n">
        <v>1</v>
      </c>
      <c r="G25" t="inlineStr">
        <is>
          <t>3</t>
        </is>
      </c>
      <c r="H25" t="inlineStr">
        <is>
          <t>speed_flat → [0.5]</t>
        </is>
      </c>
      <c r="I25" t="inlineStr">
        <is>
          <t>Attaque</t>
        </is>
      </c>
      <c r="J25" t="inlineStr"/>
      <c r="K25" t="inlineStr">
        <is>
          <t>-203, -9</t>
        </is>
      </c>
      <c r="L25" t="inlineStr">
        <is>
          <t>💨</t>
        </is>
      </c>
      <c r="M25" t="inlineStr"/>
    </row>
    <row r="26">
      <c r="A26" s="5" t="inlineStr">
        <is>
          <t>actif_7</t>
        </is>
      </c>
      <c r="B26" s="5" t="inlineStr">
        <is>
          <t>Attaque</t>
        </is>
      </c>
      <c r="C26" s="5" t="inlineStr">
        <is>
          <t>Attaque</t>
        </is>
      </c>
      <c r="D26" s="5" t="inlineStr">
        <is>
          <t>Stats</t>
        </is>
      </c>
      <c r="E26" s="5" t="inlineStr"/>
      <c r="F26" s="5" t="n">
        <v>1</v>
      </c>
      <c r="G26" s="5" t="inlineStr">
        <is>
          <t>3</t>
        </is>
      </c>
      <c r="H26" s="5" t="inlineStr">
        <is>
          <t>atk_percent → [1]</t>
        </is>
      </c>
      <c r="I26" s="5" t="inlineStr">
        <is>
          <t>Vitesse</t>
        </is>
      </c>
      <c r="J26" s="5" t="inlineStr"/>
      <c r="K26" s="5" t="inlineStr">
        <is>
          <t>-365, -44</t>
        </is>
      </c>
      <c r="L26" s="5" t="inlineStr">
        <is>
          <t>⚔️</t>
        </is>
      </c>
      <c r="M26" s="5" t="inlineStr"/>
    </row>
    <row r="27">
      <c r="A27" t="inlineStr">
        <is>
          <t>actif_8</t>
        </is>
      </c>
      <c r="B27" t="inlineStr">
        <is>
          <t>Vitesse</t>
        </is>
      </c>
      <c r="C27" t="inlineStr">
        <is>
          <t>Attaque</t>
        </is>
      </c>
      <c r="D27" t="inlineStr">
        <is>
          <t>Stats Avancées</t>
        </is>
      </c>
      <c r="E27" t="inlineStr"/>
      <c r="F27" t="n">
        <v>1</v>
      </c>
      <c r="G27" t="inlineStr">
        <is>
          <t>3</t>
        </is>
      </c>
      <c r="H27" t="inlineStr">
        <is>
          <t>speed_flat → [0.5]</t>
        </is>
      </c>
      <c r="I27" t="inlineStr">
        <is>
          <t>Attaque</t>
        </is>
      </c>
      <c r="J27" t="inlineStr"/>
      <c r="K27" t="inlineStr">
        <is>
          <t>43, -9</t>
        </is>
      </c>
      <c r="L27" t="inlineStr">
        <is>
          <t>💨</t>
        </is>
      </c>
      <c r="M27" t="inlineStr"/>
    </row>
    <row r="28">
      <c r="A28" s="5" t="inlineStr">
        <is>
          <t>actif_9</t>
        </is>
      </c>
      <c r="B28" s="5" t="inlineStr">
        <is>
          <t>Attaque</t>
        </is>
      </c>
      <c r="C28" s="5" t="inlineStr">
        <is>
          <t>Attaque</t>
        </is>
      </c>
      <c r="D28" s="5" t="inlineStr">
        <is>
          <t>Stats</t>
        </is>
      </c>
      <c r="E28" s="5" t="inlineStr"/>
      <c r="F28" s="5" t="n">
        <v>1</v>
      </c>
      <c r="G28" s="5" t="inlineStr">
        <is>
          <t>3</t>
        </is>
      </c>
      <c r="H28" s="5" t="inlineStr">
        <is>
          <t>atk_percent → [1]</t>
        </is>
      </c>
      <c r="I28" s="5" t="inlineStr">
        <is>
          <t>Vitesse</t>
        </is>
      </c>
      <c r="J28" s="5" t="inlineStr"/>
      <c r="K28" s="5" t="inlineStr">
        <is>
          <t>205, -44</t>
        </is>
      </c>
      <c r="L28" s="5" t="inlineStr">
        <is>
          <t>⚔️</t>
        </is>
      </c>
      <c r="M28" s="5" t="inlineStr"/>
    </row>
    <row r="29">
      <c r="A29" t="inlineStr">
        <is>
          <t>actif_10</t>
        </is>
      </c>
      <c r="B29" t="inlineStr">
        <is>
          <t>Deg. Crit.</t>
        </is>
      </c>
      <c r="C29" t="inlineStr">
        <is>
          <t>Attaque</t>
        </is>
      </c>
      <c r="D29" t="inlineStr">
        <is>
          <t>Stats Avancées</t>
        </is>
      </c>
      <c r="E29" t="inlineStr"/>
      <c r="F29" t="n">
        <v>1</v>
      </c>
      <c r="G29" t="inlineStr">
        <is>
          <t>3</t>
        </is>
      </c>
      <c r="H29" t="inlineStr">
        <is>
          <t>crit_damage_flat → [5]</t>
        </is>
      </c>
      <c r="I29" t="inlineStr">
        <is>
          <t>Attaque</t>
        </is>
      </c>
      <c r="J29" t="inlineStr"/>
      <c r="K29" t="inlineStr">
        <is>
          <t>-416, 114</t>
        </is>
      </c>
      <c r="L29" t="inlineStr">
        <is>
          <t>💥</t>
        </is>
      </c>
      <c r="M29" t="inlineStr"/>
    </row>
    <row r="30">
      <c r="A30" s="5" t="inlineStr">
        <is>
          <t>actif_11</t>
        </is>
      </c>
      <c r="B30" s="5" t="inlineStr">
        <is>
          <t>Deg. Crit.</t>
        </is>
      </c>
      <c r="C30" s="5" t="inlineStr">
        <is>
          <t>Attaque</t>
        </is>
      </c>
      <c r="D30" s="5" t="inlineStr">
        <is>
          <t>Stats Avancées</t>
        </is>
      </c>
      <c r="E30" s="5" t="inlineStr"/>
      <c r="F30" s="5" t="n">
        <v>1</v>
      </c>
      <c r="G30" s="5" t="inlineStr">
        <is>
          <t>3</t>
        </is>
      </c>
      <c r="H30" s="5" t="inlineStr">
        <is>
          <t>crit_damage_flat → [5]</t>
        </is>
      </c>
      <c r="I30" s="5" t="inlineStr">
        <is>
          <t>Attaque</t>
        </is>
      </c>
      <c r="J30" s="5" t="inlineStr"/>
      <c r="K30" s="5" t="inlineStr">
        <is>
          <t>256, 114</t>
        </is>
      </c>
      <c r="L30" s="5" t="inlineStr">
        <is>
          <t>💥</t>
        </is>
      </c>
      <c r="M30" s="5" t="inlineStr"/>
    </row>
    <row r="31">
      <c r="A31" t="inlineStr">
        <is>
          <t>stat_3</t>
        </is>
      </c>
      <c r="B31" t="inlineStr">
        <is>
          <t>Défense</t>
        </is>
      </c>
      <c r="C31" t="inlineStr">
        <is>
          <t>Défense</t>
        </is>
      </c>
      <c r="D31" t="inlineStr">
        <is>
          <t>Stats</t>
        </is>
      </c>
      <c r="E31" t="inlineStr"/>
      <c r="F31" t="n">
        <v>1</v>
      </c>
      <c r="G31" t="inlineStr">
        <is>
          <t>3</t>
        </is>
      </c>
      <c r="H31" t="inlineStr">
        <is>
          <t>def_percent → [1]</t>
        </is>
      </c>
      <c r="I31" t="inlineStr">
        <is>
          <t>Voie du Protecteur</t>
        </is>
      </c>
      <c r="J31" t="inlineStr"/>
      <c r="K31" t="inlineStr">
        <is>
          <t>63, 697</t>
        </is>
      </c>
      <c r="L31" t="inlineStr">
        <is>
          <t>🛡️</t>
        </is>
      </c>
      <c r="M31" t="inlineStr"/>
    </row>
    <row r="32">
      <c r="A32" s="5" t="inlineStr">
        <is>
          <t>stat_4</t>
        </is>
      </c>
      <c r="B32" s="5" t="inlineStr">
        <is>
          <t>Défense</t>
        </is>
      </c>
      <c r="C32" s="5" t="inlineStr">
        <is>
          <t>Défense</t>
        </is>
      </c>
      <c r="D32" s="5" t="inlineStr">
        <is>
          <t>Stats</t>
        </is>
      </c>
      <c r="E32" s="5" t="inlineStr"/>
      <c r="F32" s="5" t="n">
        <v>1</v>
      </c>
      <c r="G32" s="5" t="inlineStr">
        <is>
          <t>3</t>
        </is>
      </c>
      <c r="H32" s="5" t="inlineStr">
        <is>
          <t>def_percent → [1]</t>
        </is>
      </c>
      <c r="I32" s="5" t="inlineStr">
        <is>
          <t>Voie du Protecteur</t>
        </is>
      </c>
      <c r="J32" s="5" t="inlineStr"/>
      <c r="K32" s="5" t="inlineStr">
        <is>
          <t>205, 450</t>
        </is>
      </c>
      <c r="L32" s="5" t="inlineStr">
        <is>
          <t>🛡️</t>
        </is>
      </c>
      <c r="M32" s="5" t="inlineStr"/>
    </row>
    <row r="33">
      <c r="A33" t="inlineStr">
        <is>
          <t>stat_7</t>
        </is>
      </c>
      <c r="B33" t="inlineStr">
        <is>
          <t>Vitesse</t>
        </is>
      </c>
      <c r="C33" t="inlineStr">
        <is>
          <t>Défense</t>
        </is>
      </c>
      <c r="D33" t="inlineStr">
        <is>
          <t>Stats Avancées</t>
        </is>
      </c>
      <c r="E33" t="inlineStr"/>
      <c r="F33" t="n">
        <v>1</v>
      </c>
      <c r="G33" t="inlineStr">
        <is>
          <t>3</t>
        </is>
      </c>
      <c r="H33" t="inlineStr">
        <is>
          <t>speed_flat → [0.5]</t>
        </is>
      </c>
      <c r="I33" t="inlineStr">
        <is>
          <t>Défense</t>
        </is>
      </c>
      <c r="J33" t="inlineStr"/>
      <c r="K33" t="inlineStr">
        <is>
          <t>379, 573</t>
        </is>
      </c>
      <c r="L33" t="inlineStr">
        <is>
          <t>💨</t>
        </is>
      </c>
      <c r="M33" t="inlineStr"/>
    </row>
    <row r="34">
      <c r="A34" s="5" t="inlineStr">
        <is>
          <t>stat_8</t>
        </is>
      </c>
      <c r="B34" s="5" t="inlineStr">
        <is>
          <t>Défense</t>
        </is>
      </c>
      <c r="C34" s="5" t="inlineStr">
        <is>
          <t>Défense</t>
        </is>
      </c>
      <c r="D34" s="5" t="inlineStr">
        <is>
          <t>Stats</t>
        </is>
      </c>
      <c r="E34" s="5" t="inlineStr"/>
      <c r="F34" s="5" t="n">
        <v>1</v>
      </c>
      <c r="G34" s="5" t="inlineStr">
        <is>
          <t>3</t>
        </is>
      </c>
      <c r="H34" s="5" t="inlineStr">
        <is>
          <t>def_percent → [1]</t>
        </is>
      </c>
      <c r="I34" s="5" t="inlineStr">
        <is>
          <t>Vitesse</t>
        </is>
      </c>
      <c r="J34" s="5" t="inlineStr"/>
      <c r="K34" s="5" t="inlineStr">
        <is>
          <t>490, 450</t>
        </is>
      </c>
      <c r="L34" s="5" t="inlineStr">
        <is>
          <t>🛡️</t>
        </is>
      </c>
      <c r="M34" s="5" t="inlineStr"/>
    </row>
    <row r="35">
      <c r="A35" t="inlineStr">
        <is>
          <t>stat_9</t>
        </is>
      </c>
      <c r="B35" t="inlineStr">
        <is>
          <t>Vitesse</t>
        </is>
      </c>
      <c r="C35" t="inlineStr">
        <is>
          <t>Défense</t>
        </is>
      </c>
      <c r="D35" t="inlineStr">
        <is>
          <t>Stats Avancées</t>
        </is>
      </c>
      <c r="E35" t="inlineStr"/>
      <c r="F35" t="n">
        <v>1</v>
      </c>
      <c r="G35" t="inlineStr">
        <is>
          <t>3</t>
        </is>
      </c>
      <c r="H35" t="inlineStr">
        <is>
          <t>speed_flat → [0.5]</t>
        </is>
      </c>
      <c r="I35" t="inlineStr">
        <is>
          <t>Défense</t>
        </is>
      </c>
      <c r="J35" t="inlineStr"/>
      <c r="K35" t="inlineStr">
        <is>
          <t>256, 786</t>
        </is>
      </c>
      <c r="L35" t="inlineStr">
        <is>
          <t>💨</t>
        </is>
      </c>
      <c r="M35" t="inlineStr"/>
    </row>
    <row r="36">
      <c r="A36" s="5" t="inlineStr">
        <is>
          <t>stat_10</t>
        </is>
      </c>
      <c r="B36" s="5" t="inlineStr">
        <is>
          <t>Régénération</t>
        </is>
      </c>
      <c r="C36" s="5" t="inlineStr">
        <is>
          <t>Défense</t>
        </is>
      </c>
      <c r="D36" s="5" t="inlineStr">
        <is>
          <t>Stats Avancées</t>
        </is>
      </c>
      <c r="E36" s="5" t="inlineStr"/>
      <c r="F36" s="5" t="n">
        <v>1</v>
      </c>
      <c r="G36" s="5" t="inlineStr">
        <is>
          <t>3</t>
        </is>
      </c>
      <c r="H36" s="5" t="inlineStr">
        <is>
          <t>hp_regeneration_flat → [5]</t>
        </is>
      </c>
      <c r="I36" s="5" t="inlineStr">
        <is>
          <t>Défense</t>
        </is>
      </c>
      <c r="J36" s="5" t="inlineStr"/>
      <c r="K36" s="5" t="inlineStr">
        <is>
          <t>43, 909</t>
        </is>
      </c>
      <c r="L36" s="5" t="inlineStr">
        <is>
          <t>✨</t>
        </is>
      </c>
      <c r="M36" s="5" t="inlineStr"/>
    </row>
    <row r="37">
      <c r="A37" t="inlineStr">
        <is>
          <t>stat_2</t>
        </is>
      </c>
      <c r="B37" t="inlineStr">
        <is>
          <t>Régénération</t>
        </is>
      </c>
      <c r="C37" t="inlineStr">
        <is>
          <t>Défense</t>
        </is>
      </c>
      <c r="D37" t="inlineStr">
        <is>
          <t>Stats Avancées</t>
        </is>
      </c>
      <c r="E37" t="inlineStr"/>
      <c r="F37" t="n">
        <v>1</v>
      </c>
      <c r="G37" t="inlineStr">
        <is>
          <t>3</t>
        </is>
      </c>
      <c r="H37" t="inlineStr">
        <is>
          <t>hp_regeneration_flat → [5]</t>
        </is>
      </c>
      <c r="I37" t="inlineStr">
        <is>
          <t>Défense</t>
        </is>
      </c>
      <c r="J37" t="inlineStr"/>
      <c r="K37" t="inlineStr">
        <is>
          <t>379, 327</t>
        </is>
      </c>
      <c r="L37" t="inlineStr">
        <is>
          <t>✨</t>
        </is>
      </c>
      <c r="M37" t="inlineStr"/>
    </row>
    <row r="38">
      <c r="A38" s="5" t="inlineStr">
        <is>
          <t>stat_6</t>
        </is>
      </c>
      <c r="B38" s="5" t="inlineStr">
        <is>
          <t>Défense</t>
        </is>
      </c>
      <c r="C38" s="5" t="inlineStr">
        <is>
          <t>Défense</t>
        </is>
      </c>
      <c r="D38" s="5" t="inlineStr">
        <is>
          <t>Stats</t>
        </is>
      </c>
      <c r="E38" s="5" t="inlineStr"/>
      <c r="F38" s="5" t="n">
        <v>1</v>
      </c>
      <c r="G38" s="5" t="inlineStr">
        <is>
          <t>3</t>
        </is>
      </c>
      <c r="H38" s="5" t="inlineStr">
        <is>
          <t>def_percent → [1]</t>
        </is>
      </c>
      <c r="I38" s="5" t="inlineStr">
        <is>
          <t>Vitesse</t>
        </is>
      </c>
      <c r="J38" s="5" t="inlineStr"/>
      <c r="K38" s="5" t="inlineStr">
        <is>
          <t>205, 944</t>
        </is>
      </c>
      <c r="L38" s="5" t="inlineStr">
        <is>
          <t>🛡️</t>
        </is>
      </c>
      <c r="M38" s="5" t="inlineStr"/>
    </row>
    <row r="39">
      <c r="A39" t="inlineStr">
        <is>
          <t>passif_2</t>
        </is>
      </c>
      <c r="B39" t="inlineStr">
        <is>
          <t>Rég. Mana</t>
        </is>
      </c>
      <c r="C39" t="inlineStr">
        <is>
          <t>Support</t>
        </is>
      </c>
      <c r="D39" t="inlineStr">
        <is>
          <t>Stats Avancées</t>
        </is>
      </c>
      <c r="E39" t="inlineStr"/>
      <c r="F39" t="n">
        <v>1</v>
      </c>
      <c r="G39" t="inlineStr">
        <is>
          <t>3</t>
        </is>
      </c>
      <c r="H39" t="inlineStr">
        <is>
          <t>mana_regeneration_flat → [1]</t>
        </is>
      </c>
      <c r="I39" t="inlineStr">
        <is>
          <t>PV</t>
        </is>
      </c>
      <c r="J39" t="inlineStr"/>
      <c r="K39" t="inlineStr">
        <is>
          <t>-204, 909</t>
        </is>
      </c>
      <c r="L39" t="inlineStr">
        <is>
          <t>🔷</t>
        </is>
      </c>
      <c r="M39" t="inlineStr"/>
    </row>
    <row r="40">
      <c r="A40" s="5" t="inlineStr">
        <is>
          <t>passif_10</t>
        </is>
      </c>
      <c r="B40" s="5" t="inlineStr">
        <is>
          <t>Rég. Mana</t>
        </is>
      </c>
      <c r="C40" s="5" t="inlineStr">
        <is>
          <t>Support</t>
        </is>
      </c>
      <c r="D40" s="5" t="inlineStr">
        <is>
          <t>Stats Avancées</t>
        </is>
      </c>
      <c r="E40" s="5" t="inlineStr"/>
      <c r="F40" s="5" t="n">
        <v>1</v>
      </c>
      <c r="G40" s="5" t="inlineStr">
        <is>
          <t>3</t>
        </is>
      </c>
      <c r="H40" s="5" t="inlineStr">
        <is>
          <t>mana_regeneration_flat → [1]</t>
        </is>
      </c>
      <c r="I40" s="5" t="inlineStr">
        <is>
          <t>PV</t>
        </is>
      </c>
      <c r="J40" s="5" t="inlineStr"/>
      <c r="K40" s="5" t="inlineStr">
        <is>
          <t>-539, 327</t>
        </is>
      </c>
      <c r="L40" s="5" t="inlineStr">
        <is>
          <t>🔷</t>
        </is>
      </c>
      <c r="M40" s="5" t="inlineStr"/>
    </row>
    <row r="41">
      <c r="A41" t="inlineStr">
        <is>
          <t>passif_14</t>
        </is>
      </c>
      <c r="B41" t="inlineStr">
        <is>
          <t>AOE</t>
        </is>
      </c>
      <c r="C41" t="inlineStr">
        <is>
          <t>Mage</t>
        </is>
      </c>
      <c r="D41" t="inlineStr">
        <is>
          <t>Passives</t>
        </is>
      </c>
      <c r="E41" t="inlineStr"/>
      <c r="F41" t="n">
        <v>1</v>
      </c>
      <c r="G41" t="inlineStr">
        <is>
          <t>3</t>
        </is>
      </c>
      <c r="H41" t="inlineStr">
        <is>
          <t>splash_damage_percent → [25]</t>
        </is>
      </c>
      <c r="I41" t="inlineStr">
        <is>
          <t>Rég. Mana, Deg. Crit.</t>
        </is>
      </c>
      <c r="J41" t="inlineStr">
        <is>
          <t>toutes</t>
        </is>
      </c>
      <c r="K41" t="inlineStr">
        <is>
          <t>-574, 165</t>
        </is>
      </c>
      <c r="L41" t="inlineStr">
        <is>
          <t>🔮</t>
        </is>
      </c>
      <c r="M41" t="inlineStr">
        <is>
          <t>Les attaques infligent aussi des dégats aux ennemis adjacents la cible, 25% de dégats de l'attaque.</t>
        </is>
      </c>
    </row>
    <row r="42">
      <c r="A42" s="5" t="inlineStr">
        <is>
          <t>type_1_6</t>
        </is>
      </c>
      <c r="B42" s="5" t="inlineStr">
        <is>
          <t>Mage</t>
        </is>
      </c>
      <c r="C42" s="5" t="inlineStr">
        <is>
          <t>Classe</t>
        </is>
      </c>
      <c r="D42" s="5" t="inlineStr">
        <is>
          <t>Classes</t>
        </is>
      </c>
      <c r="E42" s="5" t="inlineStr"/>
      <c r="F42" s="5" t="n">
        <v>1</v>
      </c>
      <c r="G42" s="5" t="inlineStr">
        <is>
          <t>2</t>
        </is>
      </c>
      <c r="H42" s="7" t="inlineStr">
        <is>
          <t>grant_class → [mage]
mage_affinity_bonus → [1]</t>
        </is>
      </c>
      <c r="I42" s="5" t="inlineStr">
        <is>
          <t>Deg. Crit., Rég. Mana</t>
        </is>
      </c>
      <c r="J42" s="5" t="inlineStr">
        <is>
          <t>toutes</t>
        </is>
      </c>
      <c r="K42" s="5" t="inlineStr">
        <is>
          <t>-820, 22</t>
        </is>
      </c>
      <c r="L42" s="5" t="inlineStr">
        <is>
          <t>🧙</t>
        </is>
      </c>
      <c r="M42" s="5" t="inlineStr">
        <is>
          <t>Classe Mage : quand ton coup s'infuse d'un élément (le monstre y est faible), le bonus élémentaire est multiplié par 1,25 si ton affinité dans cet élément atteint 25, par 1,5 à 50, par 2 à 100.</t>
        </is>
      </c>
    </row>
    <row r="43">
      <c r="A43" t="inlineStr">
        <is>
          <t>type_1_8</t>
        </is>
      </c>
      <c r="B43" t="inlineStr">
        <is>
          <t>Chance Crit.</t>
        </is>
      </c>
      <c r="C43" t="inlineStr">
        <is>
          <t>Mage</t>
        </is>
      </c>
      <c r="D43" t="inlineStr">
        <is>
          <t>Stats Avancées</t>
        </is>
      </c>
      <c r="E43" t="inlineStr"/>
      <c r="F43" t="n">
        <v>1</v>
      </c>
      <c r="G43" t="inlineStr">
        <is>
          <t>3</t>
        </is>
      </c>
      <c r="H43" t="inlineStr">
        <is>
          <t>crit_chance_flat → [1]</t>
        </is>
      </c>
      <c r="I43" t="inlineStr">
        <is>
          <t>AOE</t>
        </is>
      </c>
      <c r="J43" t="inlineStr"/>
      <c r="K43" t="inlineStr">
        <is>
          <t>-550, -20</t>
        </is>
      </c>
      <c r="L43" t="inlineStr">
        <is>
          <t>🎯</t>
        </is>
      </c>
      <c r="M43" t="inlineStr"/>
    </row>
    <row r="44">
      <c r="A44" s="5" t="inlineStr">
        <is>
          <t>type_1_10</t>
        </is>
      </c>
      <c r="B44" s="5" t="inlineStr">
        <is>
          <t>Mana</t>
        </is>
      </c>
      <c r="C44" s="5" t="inlineStr">
        <is>
          <t>Mage</t>
        </is>
      </c>
      <c r="D44" s="5" t="inlineStr">
        <is>
          <t>Stats Avancées</t>
        </is>
      </c>
      <c r="E44" s="5" t="inlineStr"/>
      <c r="F44" s="5" t="n">
        <v>1</v>
      </c>
      <c r="G44" s="5" t="inlineStr">
        <is>
          <t>3</t>
        </is>
      </c>
      <c r="H44" s="5" t="inlineStr">
        <is>
          <t>mana_max_flat → [5]</t>
        </is>
      </c>
      <c r="I44" s="5" t="inlineStr">
        <is>
          <t>AOE</t>
        </is>
      </c>
      <c r="J44" s="5" t="inlineStr"/>
      <c r="K44" s="5" t="inlineStr">
        <is>
          <t>-722, 278</t>
        </is>
      </c>
      <c r="L44" s="5" t="inlineStr">
        <is>
          <t>💧</t>
        </is>
      </c>
      <c r="M44" s="5" t="inlineStr"/>
    </row>
    <row r="45">
      <c r="A45" t="inlineStr">
        <is>
          <t>type_1_1</t>
        </is>
      </c>
      <c r="B45" t="inlineStr">
        <is>
          <t>Rég. Mana</t>
        </is>
      </c>
      <c r="C45" t="inlineStr">
        <is>
          <t>Mage</t>
        </is>
      </c>
      <c r="D45" t="inlineStr">
        <is>
          <t>Stats Avancées</t>
        </is>
      </c>
      <c r="E45" t="inlineStr"/>
      <c r="F45" t="n">
        <v>1</v>
      </c>
      <c r="G45" t="inlineStr">
        <is>
          <t>3</t>
        </is>
      </c>
      <c r="H45" t="inlineStr">
        <is>
          <t>mana_regeneration_flat → [1]</t>
        </is>
      </c>
      <c r="I45" t="inlineStr">
        <is>
          <t>Mana</t>
        </is>
      </c>
      <c r="J45" t="inlineStr"/>
      <c r="K45" t="inlineStr">
        <is>
          <t>-906, 229</t>
        </is>
      </c>
      <c r="L45" t="inlineStr">
        <is>
          <t>🔷</t>
        </is>
      </c>
      <c r="M45" t="inlineStr"/>
    </row>
    <row r="46">
      <c r="A46" s="5" t="inlineStr">
        <is>
          <t>type_1_2</t>
        </is>
      </c>
      <c r="B46" s="5" t="inlineStr">
        <is>
          <t>Deg. Crit.</t>
        </is>
      </c>
      <c r="C46" s="5" t="inlineStr">
        <is>
          <t>Mage</t>
        </is>
      </c>
      <c r="D46" s="5" t="inlineStr">
        <is>
          <t>Stats Avancées</t>
        </is>
      </c>
      <c r="E46" s="5" t="inlineStr"/>
      <c r="F46" s="5" t="n">
        <v>1</v>
      </c>
      <c r="G46" s="5" t="inlineStr">
        <is>
          <t>3</t>
        </is>
      </c>
      <c r="H46" s="5" t="inlineStr">
        <is>
          <t>crit_damage_flat → [5]</t>
        </is>
      </c>
      <c r="I46" s="5" t="inlineStr">
        <is>
          <t>Chance Crit.</t>
        </is>
      </c>
      <c r="J46" s="5" t="inlineStr"/>
      <c r="K46" s="5" t="inlineStr">
        <is>
          <t>-685, -155</t>
        </is>
      </c>
      <c r="L46" s="5" t="inlineStr">
        <is>
          <t>💥</t>
        </is>
      </c>
      <c r="M46" s="5" t="inlineStr"/>
    </row>
    <row r="47">
      <c r="A47" t="inlineStr">
        <is>
          <t>passif_11</t>
        </is>
      </c>
      <c r="B47" t="inlineStr">
        <is>
          <t>Résistant</t>
        </is>
      </c>
      <c r="C47" t="inlineStr">
        <is>
          <t>Gardien</t>
        </is>
      </c>
      <c r="D47" t="inlineStr">
        <is>
          <t>Passives</t>
        </is>
      </c>
      <c r="E47" t="inlineStr"/>
      <c r="F47" t="n">
        <v>1</v>
      </c>
      <c r="G47" t="inlineStr">
        <is>
          <t>3</t>
        </is>
      </c>
      <c r="H47" t="inlineStr">
        <is>
          <t>damage_taken_reduction_percent → [10]</t>
        </is>
      </c>
      <c r="I47" t="inlineStr">
        <is>
          <t>Rég. Mana, Régénération</t>
        </is>
      </c>
      <c r="J47" t="inlineStr">
        <is>
          <t>toutes</t>
        </is>
      </c>
      <c r="K47" t="inlineStr">
        <is>
          <t>-80, 1020</t>
        </is>
      </c>
      <c r="L47" t="inlineStr">
        <is>
          <t>🫧</t>
        </is>
      </c>
      <c r="M47" t="inlineStr">
        <is>
          <t>Réduit de 10% les dégats reçus.</t>
        </is>
      </c>
    </row>
    <row r="48">
      <c r="A48" s="5" t="inlineStr">
        <is>
          <t>type_1_3</t>
        </is>
      </c>
      <c r="B48" s="5" t="inlineStr">
        <is>
          <t>Egide</t>
        </is>
      </c>
      <c r="C48" s="5" t="inlineStr">
        <is>
          <t>Classe</t>
        </is>
      </c>
      <c r="D48" s="5" t="inlineStr">
        <is>
          <t>Classes</t>
        </is>
      </c>
      <c r="E48" s="5" t="inlineStr"/>
      <c r="F48" s="5" t="n">
        <v>1</v>
      </c>
      <c r="G48" s="5" t="inlineStr">
        <is>
          <t>2</t>
        </is>
      </c>
      <c r="H48" s="7" t="inlineStr">
        <is>
          <t>grant_class → [egide]
team_shield_percent → [10]</t>
        </is>
      </c>
      <c r="I48" s="5" t="inlineStr">
        <is>
          <t>Rég. Mana, Régénération</t>
        </is>
      </c>
      <c r="J48" s="5" t="inlineStr">
        <is>
          <t>toutes</t>
        </is>
      </c>
      <c r="K48" s="5" t="inlineStr">
        <is>
          <t>-80, 1305</t>
        </is>
      </c>
      <c r="L48" s="5" t="inlineStr">
        <is>
          <t>🗿</t>
        </is>
      </c>
      <c r="M48" s="5" t="inlineStr">
        <is>
          <t>Au début du combat donne un bouclier de 10% de ses points de vie max à lui et tous ses alliés.</t>
        </is>
      </c>
    </row>
    <row r="49">
      <c r="A49" t="inlineStr">
        <is>
          <t>type_1_4</t>
        </is>
      </c>
      <c r="B49" t="inlineStr">
        <is>
          <t>Mana</t>
        </is>
      </c>
      <c r="C49" t="inlineStr">
        <is>
          <t>Gardien</t>
        </is>
      </c>
      <c r="D49" t="inlineStr">
        <is>
          <t>Stats Avancées</t>
        </is>
      </c>
      <c r="E49" t="inlineStr"/>
      <c r="F49" t="n">
        <v>1</v>
      </c>
      <c r="G49" t="inlineStr">
        <is>
          <t>3</t>
        </is>
      </c>
      <c r="H49" t="inlineStr">
        <is>
          <t>mana_max_flat → [5]</t>
        </is>
      </c>
      <c r="I49" t="inlineStr">
        <is>
          <t>Résistant</t>
        </is>
      </c>
      <c r="J49" t="inlineStr"/>
      <c r="K49" t="inlineStr">
        <is>
          <t>-252, 1092</t>
        </is>
      </c>
      <c r="L49" t="inlineStr">
        <is>
          <t>💧</t>
        </is>
      </c>
      <c r="M49" t="inlineStr"/>
    </row>
    <row r="50">
      <c r="A50" s="5" t="inlineStr">
        <is>
          <t>type_1_5</t>
        </is>
      </c>
      <c r="B50" s="5" t="inlineStr">
        <is>
          <t>Esquive</t>
        </is>
      </c>
      <c r="C50" s="5" t="inlineStr">
        <is>
          <t>Gardien</t>
        </is>
      </c>
      <c r="D50" s="5" t="inlineStr">
        <is>
          <t>Stats Avancées</t>
        </is>
      </c>
      <c r="E50" s="5" t="inlineStr"/>
      <c r="F50" s="5" t="n">
        <v>1</v>
      </c>
      <c r="G50" s="5" t="inlineStr">
        <is>
          <t>3</t>
        </is>
      </c>
      <c r="H50" s="5" t="inlineStr">
        <is>
          <t>dodge_flat → [1]</t>
        </is>
      </c>
      <c r="I50" s="5" t="inlineStr">
        <is>
          <t>Résistant</t>
        </is>
      </c>
      <c r="J50" s="5" t="inlineStr"/>
      <c r="K50" s="5" t="inlineStr">
        <is>
          <t>92, 1092</t>
        </is>
      </c>
      <c r="L50" s="5" t="inlineStr">
        <is>
          <t>🌀</t>
        </is>
      </c>
      <c r="M50" s="5" t="inlineStr"/>
    </row>
    <row r="51">
      <c r="A51" t="inlineStr">
        <is>
          <t>type_1_7</t>
        </is>
      </c>
      <c r="B51" t="inlineStr">
        <is>
          <t>Régénération</t>
        </is>
      </c>
      <c r="C51" t="inlineStr">
        <is>
          <t>Gardien</t>
        </is>
      </c>
      <c r="D51" t="inlineStr">
        <is>
          <t>Stats Avancées</t>
        </is>
      </c>
      <c r="E51" t="inlineStr"/>
      <c r="F51" t="n">
        <v>1</v>
      </c>
      <c r="G51" t="inlineStr">
        <is>
          <t>3</t>
        </is>
      </c>
      <c r="H51" t="inlineStr">
        <is>
          <t>hp_regeneration_flat → [5]</t>
        </is>
      </c>
      <c r="I51" t="inlineStr">
        <is>
          <t>Esquive</t>
        </is>
      </c>
      <c r="J51" t="inlineStr"/>
      <c r="K51" t="inlineStr">
        <is>
          <t>141, 1276</t>
        </is>
      </c>
      <c r="L51" t="inlineStr">
        <is>
          <t>✨</t>
        </is>
      </c>
      <c r="M51" t="inlineStr"/>
    </row>
    <row r="52">
      <c r="A52" s="5" t="inlineStr">
        <is>
          <t>type_1_9</t>
        </is>
      </c>
      <c r="B52" s="5" t="inlineStr">
        <is>
          <t>Rég. Mana</t>
        </is>
      </c>
      <c r="C52" s="5" t="inlineStr">
        <is>
          <t>Gardien</t>
        </is>
      </c>
      <c r="D52" s="5" t="inlineStr">
        <is>
          <t>Stats Avancées</t>
        </is>
      </c>
      <c r="E52" s="5" t="inlineStr"/>
      <c r="F52" s="5" t="n">
        <v>1</v>
      </c>
      <c r="G52" s="5" t="inlineStr">
        <is>
          <t>3</t>
        </is>
      </c>
      <c r="H52" s="5" t="inlineStr">
        <is>
          <t>mana_regeneration_flat → [1]</t>
        </is>
      </c>
      <c r="I52" s="5" t="inlineStr">
        <is>
          <t>Mana</t>
        </is>
      </c>
      <c r="J52" s="5" t="inlineStr"/>
      <c r="K52" s="5" t="inlineStr">
        <is>
          <t>-301, 1276</t>
        </is>
      </c>
      <c r="L52" s="5" t="inlineStr">
        <is>
          <t>🔷</t>
        </is>
      </c>
      <c r="M52" s="5" t="inlineStr"/>
    </row>
    <row r="53">
      <c r="A53" t="inlineStr">
        <is>
          <t>passif_12</t>
        </is>
      </c>
      <c r="B53" t="inlineStr">
        <is>
          <t>Tenace</t>
        </is>
      </c>
      <c r="C53" t="inlineStr">
        <is>
          <t>Sentinelle</t>
        </is>
      </c>
      <c r="D53" t="inlineStr">
        <is>
          <t>Passives</t>
        </is>
      </c>
      <c r="E53" t="inlineStr"/>
      <c r="F53" t="n">
        <v>1</v>
      </c>
      <c r="G53" t="inlineStr">
        <is>
          <t>3</t>
        </is>
      </c>
      <c r="H53" t="inlineStr">
        <is>
          <t>last_stand → [1]</t>
        </is>
      </c>
      <c r="I53" t="inlineStr">
        <is>
          <t>Deg. Crit., Régénération</t>
        </is>
      </c>
      <c r="J53" t="inlineStr">
        <is>
          <t>toutes</t>
        </is>
      </c>
      <c r="K53" t="inlineStr">
        <is>
          <t>414, 165</t>
        </is>
      </c>
      <c r="L53" t="inlineStr">
        <is>
          <t>💀</t>
        </is>
      </c>
      <c r="M53" t="inlineStr">
        <is>
          <t>Lors d'un combat, la première attaque devant le tuer le laisse à 1 pv à la place.</t>
        </is>
      </c>
    </row>
    <row r="54">
      <c r="A54" s="5" t="inlineStr">
        <is>
          <t>type_1_11</t>
        </is>
      </c>
      <c r="B54" s="5" t="inlineStr">
        <is>
          <t>Titan</t>
        </is>
      </c>
      <c r="C54" s="5" t="inlineStr">
        <is>
          <t>Classe</t>
        </is>
      </c>
      <c r="D54" s="5" t="inlineStr">
        <is>
          <t>Classes</t>
        </is>
      </c>
      <c r="E54" s="5" t="inlineStr"/>
      <c r="F54" s="5" t="n">
        <v>1</v>
      </c>
      <c r="G54" s="5" t="inlineStr">
        <is>
          <t>2</t>
        </is>
      </c>
      <c r="H54" s="7" t="inlineStr">
        <is>
          <t>grant_class → [titan]
damage_dealt_percent → [5]
damage_taken_reduction_percent → [5]</t>
        </is>
      </c>
      <c r="I54" s="5" t="inlineStr">
        <is>
          <t>Deg. Crit., Régénération</t>
        </is>
      </c>
      <c r="J54" s="5" t="inlineStr">
        <is>
          <t>toutes</t>
        </is>
      </c>
      <c r="K54" s="5" t="inlineStr">
        <is>
          <t>660, 23</t>
        </is>
      </c>
      <c r="L54" s="5" t="inlineStr">
        <is>
          <t>🦾</t>
        </is>
      </c>
      <c r="M54" s="5" t="inlineStr">
        <is>
          <t>Inflige 5% de dégats supplémentaires et réduit de 5% les dégats reçus.</t>
        </is>
      </c>
    </row>
    <row r="55">
      <c r="A55" t="inlineStr">
        <is>
          <t>type_1_12</t>
        </is>
      </c>
      <c r="B55" t="inlineStr">
        <is>
          <t>Chance Crit.</t>
        </is>
      </c>
      <c r="C55" t="inlineStr">
        <is>
          <t>Sentinelle</t>
        </is>
      </c>
      <c r="D55" t="inlineStr">
        <is>
          <t>Stats Avancées</t>
        </is>
      </c>
      <c r="E55" t="inlineStr"/>
      <c r="F55" t="n">
        <v>1</v>
      </c>
      <c r="G55" t="inlineStr">
        <is>
          <t>3</t>
        </is>
      </c>
      <c r="H55" t="inlineStr">
        <is>
          <t>crit_chance_flat → [1]</t>
        </is>
      </c>
      <c r="I55" t="inlineStr">
        <is>
          <t>Tenace</t>
        </is>
      </c>
      <c r="J55" t="inlineStr"/>
      <c r="K55" t="inlineStr">
        <is>
          <t>390, -20</t>
        </is>
      </c>
      <c r="L55" t="inlineStr">
        <is>
          <t>🎯</t>
        </is>
      </c>
      <c r="M55" t="inlineStr"/>
    </row>
    <row r="56">
      <c r="A56" s="5" t="inlineStr">
        <is>
          <t>type_1_13</t>
        </is>
      </c>
      <c r="B56" s="5" t="inlineStr">
        <is>
          <t>Esquive</t>
        </is>
      </c>
      <c r="C56" s="5" t="inlineStr">
        <is>
          <t>Sentinelle</t>
        </is>
      </c>
      <c r="D56" s="5" t="inlineStr">
        <is>
          <t>Stats Avancées</t>
        </is>
      </c>
      <c r="E56" s="5" t="inlineStr"/>
      <c r="F56" s="5" t="n">
        <v>1</v>
      </c>
      <c r="G56" s="5" t="inlineStr">
        <is>
          <t>3</t>
        </is>
      </c>
      <c r="H56" s="5" t="inlineStr">
        <is>
          <t>dodge_flat → [1]</t>
        </is>
      </c>
      <c r="I56" s="5" t="inlineStr">
        <is>
          <t>Tenace</t>
        </is>
      </c>
      <c r="J56" s="5" t="inlineStr"/>
      <c r="K56" s="5" t="inlineStr">
        <is>
          <t>562, 278</t>
        </is>
      </c>
      <c r="L56" s="5" t="inlineStr">
        <is>
          <t>🌀</t>
        </is>
      </c>
      <c r="M56" s="5" t="inlineStr"/>
    </row>
    <row r="57">
      <c r="A57" t="inlineStr">
        <is>
          <t>type_1_14</t>
        </is>
      </c>
      <c r="B57" t="inlineStr">
        <is>
          <t>Régénération</t>
        </is>
      </c>
      <c r="C57" t="inlineStr">
        <is>
          <t>Sentinelle</t>
        </is>
      </c>
      <c r="D57" t="inlineStr">
        <is>
          <t>Stats Avancées</t>
        </is>
      </c>
      <c r="E57" t="inlineStr"/>
      <c r="F57" t="n">
        <v>1</v>
      </c>
      <c r="G57" t="inlineStr">
        <is>
          <t>3</t>
        </is>
      </c>
      <c r="H57" t="inlineStr">
        <is>
          <t>hp_regeneration_flat → [5]</t>
        </is>
      </c>
      <c r="I57" t="inlineStr">
        <is>
          <t>Esquive</t>
        </is>
      </c>
      <c r="J57" t="inlineStr"/>
      <c r="K57" t="inlineStr">
        <is>
          <t>746, 229</t>
        </is>
      </c>
      <c r="L57" t="inlineStr">
        <is>
          <t>✨</t>
        </is>
      </c>
      <c r="M57" t="inlineStr"/>
    </row>
    <row r="58">
      <c r="A58" s="5" t="inlineStr">
        <is>
          <t>type_1_15</t>
        </is>
      </c>
      <c r="B58" s="5" t="inlineStr">
        <is>
          <t>Deg. Crit.</t>
        </is>
      </c>
      <c r="C58" s="5" t="inlineStr">
        <is>
          <t>Sentinelle</t>
        </is>
      </c>
      <c r="D58" s="5" t="inlineStr">
        <is>
          <t>Stats Avancées</t>
        </is>
      </c>
      <c r="E58" s="5" t="inlineStr"/>
      <c r="F58" s="5" t="n">
        <v>1</v>
      </c>
      <c r="G58" s="5" t="inlineStr">
        <is>
          <t>3</t>
        </is>
      </c>
      <c r="H58" s="5" t="inlineStr">
        <is>
          <t>crit_damage_flat → [5]</t>
        </is>
      </c>
      <c r="I58" s="5" t="inlineStr">
        <is>
          <t>Chance Crit.</t>
        </is>
      </c>
      <c r="J58" s="5" t="inlineStr"/>
      <c r="K58" s="5" t="inlineStr">
        <is>
          <t>525, -155</t>
        </is>
      </c>
      <c r="L58" s="5" t="inlineStr">
        <is>
          <t>💥</t>
        </is>
      </c>
      <c r="M58" s="5" t="inlineStr"/>
    </row>
    <row r="59">
      <c r="A59" t="inlineStr">
        <is>
          <t>passif_13</t>
        </is>
      </c>
      <c r="B59" t="inlineStr">
        <is>
          <t>Mana</t>
        </is>
      </c>
      <c r="C59" t="inlineStr">
        <is>
          <t>Support</t>
        </is>
      </c>
      <c r="D59" t="inlineStr">
        <is>
          <t>Stats Avancées</t>
        </is>
      </c>
      <c r="E59" t="inlineStr"/>
      <c r="F59" t="n">
        <v>1</v>
      </c>
      <c r="G59" t="inlineStr">
        <is>
          <t>3</t>
        </is>
      </c>
      <c r="H59" t="inlineStr">
        <is>
          <t>mana_max_flat → [5]</t>
        </is>
      </c>
      <c r="I59" t="inlineStr">
        <is>
          <t>PV</t>
        </is>
      </c>
      <c r="J59" t="inlineStr"/>
      <c r="K59" t="inlineStr">
        <is>
          <t>-935, 450</t>
        </is>
      </c>
      <c r="L59" t="inlineStr">
        <is>
          <t>💧</t>
        </is>
      </c>
      <c r="M59" t="inlineStr"/>
    </row>
    <row r="60">
      <c r="A60" s="5" t="inlineStr">
        <is>
          <t>passif_15</t>
        </is>
      </c>
      <c r="B60" s="5" t="inlineStr">
        <is>
          <t>Mana</t>
        </is>
      </c>
      <c r="C60" s="5" t="inlineStr">
        <is>
          <t>Support</t>
        </is>
      </c>
      <c r="D60" s="5" t="inlineStr">
        <is>
          <t>Stats Avancées</t>
        </is>
      </c>
      <c r="E60" s="5" t="inlineStr"/>
      <c r="F60" s="5" t="n">
        <v>1</v>
      </c>
      <c r="G60" s="5" t="inlineStr">
        <is>
          <t>3</t>
        </is>
      </c>
      <c r="H60" s="5" t="inlineStr">
        <is>
          <t>mana_max_flat → [5]</t>
        </is>
      </c>
      <c r="I60" s="5" t="inlineStr">
        <is>
          <t>PV</t>
        </is>
      </c>
      <c r="J60" s="5" t="inlineStr"/>
      <c r="K60" s="5" t="inlineStr">
        <is>
          <t>-507, 1190</t>
        </is>
      </c>
      <c r="L60" s="5" t="inlineStr">
        <is>
          <t>💧</t>
        </is>
      </c>
      <c r="M60" s="5" t="inlineStr"/>
    </row>
    <row r="61">
      <c r="A61" t="inlineStr">
        <is>
          <t>passif_16</t>
        </is>
      </c>
      <c r="B61" t="inlineStr">
        <is>
          <t>Soigneur</t>
        </is>
      </c>
      <c r="C61" t="inlineStr">
        <is>
          <t>Classe</t>
        </is>
      </c>
      <c r="D61" t="inlineStr">
        <is>
          <t>Classes</t>
        </is>
      </c>
      <c r="E61" t="inlineStr"/>
      <c r="F61" t="n">
        <v>1</v>
      </c>
      <c r="G61" t="inlineStr">
        <is>
          <t>2</t>
        </is>
      </c>
      <c r="H61" s="8" t="inlineStr">
        <is>
          <t>grant_class → [soigneur]
healer_spell → [1]
heal_power_multiplier → [2]
speed_per_ally → [1]
team_damage_percent → [25]</t>
        </is>
      </c>
      <c r="I61" t="inlineStr">
        <is>
          <t>Rég. Mana, Rég. Mana</t>
        </is>
      </c>
      <c r="J61" t="inlineStr">
        <is>
          <t>toutes</t>
        </is>
      </c>
      <c r="K61" t="inlineStr">
        <is>
          <t>-820, 878</t>
        </is>
      </c>
      <c r="L61" t="inlineStr">
        <is>
          <t>💚</t>
        </is>
      </c>
      <c r="M61" t="inlineStr">
        <is>
          <t>Spécialisation de la Voie du Support : soigne un allié sous 50 % de ses PV à la place de son attaque (cible selon sa tactique, /tactique), soins doublés, +1 de vitesse par allié. Aura : tant qu'il est debout, toute l'équipe inflige +25 % de dégâts (une seule aura par équipe). Demande 27 points dans la voie ; une seule spécialisation possible.</t>
        </is>
      </c>
    </row>
    <row r="62">
      <c r="A62" s="5" t="inlineStr">
        <is>
          <t>passif_17</t>
        </is>
      </c>
      <c r="B62" s="5" t="inlineStr">
        <is>
          <t>Rég. Mana</t>
        </is>
      </c>
      <c r="C62" s="5" t="inlineStr">
        <is>
          <t>Support</t>
        </is>
      </c>
      <c r="D62" s="5" t="inlineStr">
        <is>
          <t>Stats Avancées</t>
        </is>
      </c>
      <c r="E62" s="5" t="inlineStr"/>
      <c r="F62" s="5" t="n">
        <v>1</v>
      </c>
      <c r="G62" s="5" t="inlineStr">
        <is>
          <t>3</t>
        </is>
      </c>
      <c r="H62" s="5" t="inlineStr">
        <is>
          <t>mana_regeneration_flat → [1]</t>
        </is>
      </c>
      <c r="I62" s="5" t="inlineStr">
        <is>
          <t>Mana</t>
        </is>
      </c>
      <c r="J62" s="5" t="inlineStr"/>
      <c r="K62" s="5" t="inlineStr">
        <is>
          <t>-906, 671</t>
        </is>
      </c>
      <c r="L62" s="5" t="inlineStr">
        <is>
          <t>🔷</t>
        </is>
      </c>
      <c r="M62" s="5" t="inlineStr"/>
    </row>
    <row r="63">
      <c r="A63" t="inlineStr">
        <is>
          <t>passif_18</t>
        </is>
      </c>
      <c r="B63" t="inlineStr">
        <is>
          <t>Rég. Mana</t>
        </is>
      </c>
      <c r="C63" t="inlineStr">
        <is>
          <t>Support</t>
        </is>
      </c>
      <c r="D63" t="inlineStr">
        <is>
          <t>Stats Avancées</t>
        </is>
      </c>
      <c r="E63" t="inlineStr"/>
      <c r="F63" t="n">
        <v>1</v>
      </c>
      <c r="G63" t="inlineStr">
        <is>
          <t>3</t>
        </is>
      </c>
      <c r="H63" t="inlineStr">
        <is>
          <t>mana_regeneration_flat → [1]</t>
        </is>
      </c>
      <c r="I63" t="inlineStr">
        <is>
          <t>Mana</t>
        </is>
      </c>
      <c r="J63" t="inlineStr"/>
      <c r="K63" t="inlineStr">
        <is>
          <t>-685, 1055</t>
        </is>
      </c>
      <c r="L63" t="inlineStr">
        <is>
          <t>🔷</t>
        </is>
      </c>
      <c r="M63" t="inlineStr"/>
    </row>
    <row r="64">
      <c r="A64" s="5" t="inlineStr">
        <is>
          <t>passif_3</t>
        </is>
      </c>
      <c r="B64" s="5" t="inlineStr">
        <is>
          <t>Esquive</t>
        </is>
      </c>
      <c r="C64" s="5" t="inlineStr">
        <is>
          <t>Défense</t>
        </is>
      </c>
      <c r="D64" s="5" t="inlineStr">
        <is>
          <t>Stats Avancées</t>
        </is>
      </c>
      <c r="E64" s="5" t="inlineStr"/>
      <c r="F64" s="5" t="n">
        <v>1</v>
      </c>
      <c r="G64" s="5" t="inlineStr">
        <is>
          <t>3</t>
        </is>
      </c>
      <c r="H64" s="5" t="inlineStr">
        <is>
          <t>dodge_flat → [1]</t>
        </is>
      </c>
      <c r="I64" s="5" t="inlineStr">
        <is>
          <t>Défense</t>
        </is>
      </c>
      <c r="J64" s="5" t="inlineStr"/>
      <c r="K64" s="5" t="inlineStr">
        <is>
          <t>348, 1190</t>
        </is>
      </c>
      <c r="L64" s="5" t="inlineStr">
        <is>
          <t>🌀</t>
        </is>
      </c>
      <c r="M64" s="5" t="inlineStr"/>
    </row>
    <row r="65">
      <c r="A65" t="inlineStr">
        <is>
          <t>passif_19</t>
        </is>
      </c>
      <c r="B65" t="inlineStr">
        <is>
          <t>Esquive</t>
        </is>
      </c>
      <c r="C65" t="inlineStr">
        <is>
          <t>Défense</t>
        </is>
      </c>
      <c r="D65" t="inlineStr">
        <is>
          <t>Stats Avancées</t>
        </is>
      </c>
      <c r="E65" t="inlineStr"/>
      <c r="F65" t="n">
        <v>1</v>
      </c>
      <c r="G65" t="inlineStr">
        <is>
          <t>3</t>
        </is>
      </c>
      <c r="H65" t="inlineStr">
        <is>
          <t>dodge_flat → [1]</t>
        </is>
      </c>
      <c r="I65" t="inlineStr">
        <is>
          <t>Défense</t>
        </is>
      </c>
      <c r="J65" t="inlineStr"/>
      <c r="K65" t="inlineStr">
        <is>
          <t>775, 450</t>
        </is>
      </c>
      <c r="L65" t="inlineStr">
        <is>
          <t>🌀</t>
        </is>
      </c>
      <c r="M65" t="inlineStr"/>
    </row>
    <row r="66">
      <c r="A66" s="5" t="inlineStr">
        <is>
          <t>passif_20</t>
        </is>
      </c>
      <c r="B66" s="5" t="inlineStr">
        <is>
          <t>Rempart</t>
        </is>
      </c>
      <c r="C66" s="5" t="inlineStr">
        <is>
          <t>Classe</t>
        </is>
      </c>
      <c r="D66" s="5" t="inlineStr">
        <is>
          <t>Classes</t>
        </is>
      </c>
      <c r="E66" s="5" t="inlineStr"/>
      <c r="F66" s="5" t="n">
        <v>1</v>
      </c>
      <c r="G66" s="5" t="inlineStr">
        <is>
          <t>2</t>
        </is>
      </c>
      <c r="H66" s="7" t="inlineStr">
        <is>
          <t>grant_class → [rempart]
redirect_ally_damage_percent → [50]
defense_to_attack_percent → [25]</t>
        </is>
      </c>
      <c r="I66" s="5" t="inlineStr">
        <is>
          <t>Régénération, Régénération</t>
        </is>
      </c>
      <c r="J66" s="5" t="inlineStr">
        <is>
          <t>toutes</t>
        </is>
      </c>
      <c r="K66" s="5" t="inlineStr">
        <is>
          <t>660, 878</t>
        </is>
      </c>
      <c r="L66" s="5" t="inlineStr">
        <is>
          <t>🧱</t>
        </is>
      </c>
      <c r="M66" s="5" t="inlineStr">
        <is>
          <t>Spécialisation de la Voie du Protecteur : encaisse 50 % des coups portés à ses alliés, et 25 % de sa défense s'ajoutent à son attaque (50 % avec le Gardien). Demande 27 points dans la voie ; une seule spécialisation possible.</t>
        </is>
      </c>
    </row>
    <row r="67">
      <c r="A67" t="inlineStr">
        <is>
          <t>passif_21</t>
        </is>
      </c>
      <c r="B67" t="inlineStr">
        <is>
          <t>Régénération</t>
        </is>
      </c>
      <c r="C67" t="inlineStr">
        <is>
          <t>Défense</t>
        </is>
      </c>
      <c r="D67" t="inlineStr">
        <is>
          <t>Stats Avancées</t>
        </is>
      </c>
      <c r="E67" t="inlineStr"/>
      <c r="F67" t="n">
        <v>1</v>
      </c>
      <c r="G67" t="inlineStr">
        <is>
          <t>3</t>
        </is>
      </c>
      <c r="H67" t="inlineStr">
        <is>
          <t>hp_regeneration_flat → [5]</t>
        </is>
      </c>
      <c r="I67" t="inlineStr">
        <is>
          <t>Esquive</t>
        </is>
      </c>
      <c r="J67" t="inlineStr"/>
      <c r="K67" t="inlineStr">
        <is>
          <t>525, 1055</t>
        </is>
      </c>
      <c r="L67" t="inlineStr">
        <is>
          <t>✨</t>
        </is>
      </c>
      <c r="M67" t="inlineStr"/>
    </row>
    <row r="68">
      <c r="A68" s="5" t="inlineStr">
        <is>
          <t>passif_22</t>
        </is>
      </c>
      <c r="B68" s="5" t="inlineStr">
        <is>
          <t>Régénération</t>
        </is>
      </c>
      <c r="C68" s="5" t="inlineStr">
        <is>
          <t>Défense</t>
        </is>
      </c>
      <c r="D68" s="5" t="inlineStr">
        <is>
          <t>Stats Avancées</t>
        </is>
      </c>
      <c r="E68" s="5" t="inlineStr"/>
      <c r="F68" s="5" t="n">
        <v>1</v>
      </c>
      <c r="G68" s="5" t="inlineStr">
        <is>
          <t>3</t>
        </is>
      </c>
      <c r="H68" s="5" t="inlineStr">
        <is>
          <t>hp_regeneration_flat → [5]</t>
        </is>
      </c>
      <c r="I68" s="5" t="inlineStr">
        <is>
          <t>Esquive</t>
        </is>
      </c>
      <c r="J68" s="5" t="inlineStr"/>
      <c r="K68" s="5" t="inlineStr">
        <is>
          <t>746, 671</t>
        </is>
      </c>
      <c r="L68" s="5" t="inlineStr">
        <is>
          <t>✨</t>
        </is>
      </c>
      <c r="M68" s="5" t="inlineStr"/>
    </row>
    <row r="69">
      <c r="A69" t="inlineStr">
        <is>
          <t>passif_23</t>
        </is>
      </c>
      <c r="B69" t="inlineStr">
        <is>
          <t>Chance Crit.</t>
        </is>
      </c>
      <c r="C69" t="inlineStr">
        <is>
          <t>Attaque</t>
        </is>
      </c>
      <c r="D69" t="inlineStr">
        <is>
          <t>Stats Avancées</t>
        </is>
      </c>
      <c r="E69" t="inlineStr"/>
      <c r="F69" t="n">
        <v>1</v>
      </c>
      <c r="G69" t="inlineStr">
        <is>
          <t>3</t>
        </is>
      </c>
      <c r="H69" t="inlineStr">
        <is>
          <t>crit_chance_flat → [1]</t>
        </is>
      </c>
      <c r="I69" t="inlineStr">
        <is>
          <t>Attaque</t>
        </is>
      </c>
      <c r="J69" t="inlineStr"/>
      <c r="K69" t="inlineStr">
        <is>
          <t>348, -290</t>
        </is>
      </c>
      <c r="L69" t="inlineStr">
        <is>
          <t>🎯</t>
        </is>
      </c>
      <c r="M69" t="inlineStr"/>
    </row>
    <row r="70">
      <c r="A70" s="5" t="inlineStr">
        <is>
          <t>passif_24</t>
        </is>
      </c>
      <c r="B70" s="5" t="inlineStr">
        <is>
          <t>Deg. Crit.</t>
        </is>
      </c>
      <c r="C70" s="5" t="inlineStr">
        <is>
          <t>Attaque</t>
        </is>
      </c>
      <c r="D70" s="5" t="inlineStr">
        <is>
          <t>Stats Avancées</t>
        </is>
      </c>
      <c r="E70" s="5" t="inlineStr"/>
      <c r="F70" s="5" t="n">
        <v>1</v>
      </c>
      <c r="G70" s="5" t="inlineStr">
        <is>
          <t>3</t>
        </is>
      </c>
      <c r="H70" s="5" t="inlineStr">
        <is>
          <t>crit_damage_flat → [5]</t>
        </is>
      </c>
      <c r="I70" s="5" t="inlineStr">
        <is>
          <t>Chance Crit.</t>
        </is>
      </c>
      <c r="J70" s="5" t="inlineStr"/>
      <c r="K70" s="5" t="inlineStr">
        <is>
          <t>141, -376</t>
        </is>
      </c>
      <c r="L70" s="5" t="inlineStr">
        <is>
          <t>💥</t>
        </is>
      </c>
      <c r="M70" s="5" t="inlineStr"/>
    </row>
    <row r="71">
      <c r="A71" t="inlineStr">
        <is>
          <t>passif_25</t>
        </is>
      </c>
      <c r="B71" t="inlineStr">
        <is>
          <t>Assassin</t>
        </is>
      </c>
      <c r="C71" t="inlineStr">
        <is>
          <t>Classe</t>
        </is>
      </c>
      <c r="D71" t="inlineStr">
        <is>
          <t>Classes</t>
        </is>
      </c>
      <c r="E71" t="inlineStr"/>
      <c r="F71" t="n">
        <v>1</v>
      </c>
      <c r="G71" t="inlineStr">
        <is>
          <t>2</t>
        </is>
      </c>
      <c r="H71" s="8" t="inlineStr">
        <is>
          <t>grant_class → [assassin]
crit_chance_multiplier → [1.25]
crit_damage_multiplier → [1.5]</t>
        </is>
      </c>
      <c r="I71" t="inlineStr">
        <is>
          <t>Deg. Crit., Deg. Crit.</t>
        </is>
      </c>
      <c r="J71" t="inlineStr">
        <is>
          <t>toutes</t>
        </is>
      </c>
      <c r="K71" t="inlineStr">
        <is>
          <t>-80, -405</t>
        </is>
      </c>
      <c r="L71" t="inlineStr">
        <is>
          <t>🥷</t>
        </is>
      </c>
      <c r="M71" t="inlineStr">
        <is>
          <t>Spécialisation de la Voie du Guerrier : chances de critique ×1,25 et dégâts critiques ×1,5. Demande 27 points dans la voie ; une seule spécialisation possible.</t>
        </is>
      </c>
    </row>
    <row r="72">
      <c r="A72" s="5" t="inlineStr">
        <is>
          <t>passif_26</t>
        </is>
      </c>
      <c r="B72" s="5" t="inlineStr">
        <is>
          <t>Deg. Crit.</t>
        </is>
      </c>
      <c r="C72" s="5" t="inlineStr">
        <is>
          <t>Attaque</t>
        </is>
      </c>
      <c r="D72" s="5" t="inlineStr">
        <is>
          <t>Stats Avancées</t>
        </is>
      </c>
      <c r="E72" s="5" t="inlineStr"/>
      <c r="F72" s="5" t="n">
        <v>1</v>
      </c>
      <c r="G72" s="5" t="inlineStr">
        <is>
          <t>3</t>
        </is>
      </c>
      <c r="H72" s="5" t="inlineStr">
        <is>
          <t>crit_damage_flat → [5]</t>
        </is>
      </c>
      <c r="I72" s="5" t="inlineStr">
        <is>
          <t>Chance Crit.</t>
        </is>
      </c>
      <c r="J72" s="5" t="inlineStr"/>
      <c r="K72" s="5" t="inlineStr">
        <is>
          <t>-301, -376</t>
        </is>
      </c>
      <c r="L72" s="5" t="inlineStr">
        <is>
          <t>💥</t>
        </is>
      </c>
      <c r="M72" s="5" t="inlineStr"/>
    </row>
    <row r="73">
      <c r="A73" t="inlineStr">
        <is>
          <t>passif_27</t>
        </is>
      </c>
      <c r="B73" t="inlineStr">
        <is>
          <t>Chance Crit.</t>
        </is>
      </c>
      <c r="C73" t="inlineStr">
        <is>
          <t>Attaque</t>
        </is>
      </c>
      <c r="D73" t="inlineStr">
        <is>
          <t>Stats Avancées</t>
        </is>
      </c>
      <c r="E73" t="inlineStr"/>
      <c r="F73" t="n">
        <v>1</v>
      </c>
      <c r="G73" t="inlineStr">
        <is>
          <t>3</t>
        </is>
      </c>
      <c r="H73" t="inlineStr">
        <is>
          <t>crit_chance_flat → [1]</t>
        </is>
      </c>
      <c r="I73" t="inlineStr">
        <is>
          <t>Attaque</t>
        </is>
      </c>
      <c r="J73" t="inlineStr"/>
      <c r="K73" t="inlineStr">
        <is>
          <t>-507, -290</t>
        </is>
      </c>
      <c r="L73" t="inlineStr">
        <is>
          <t>🎯</t>
        </is>
      </c>
      <c r="M73" t="inlineStr"/>
    </row>
    <row r="74">
      <c r="A74" s="5" t="inlineStr">
        <is>
          <t>passif_28</t>
        </is>
      </c>
      <c r="B74" s="5" t="inlineStr">
        <is>
          <t>Vaillant</t>
        </is>
      </c>
      <c r="C74" s="5" t="inlineStr">
        <is>
          <t>Défense</t>
        </is>
      </c>
      <c r="D74" s="5" t="inlineStr">
        <is>
          <t>Passives</t>
        </is>
      </c>
      <c r="E74" s="5" t="inlineStr"/>
      <c r="F74" s="5" t="n">
        <v>1</v>
      </c>
      <c r="G74" s="5" t="inlineStr">
        <is>
          <t>3</t>
        </is>
      </c>
      <c r="H74" s="5" t="inlineStr">
        <is>
          <t>taunt_chance_percent → [50]</t>
        </is>
      </c>
      <c r="I74" s="5" t="inlineStr">
        <is>
          <t>Vitesse, Vitesse</t>
        </is>
      </c>
      <c r="J74" s="5" t="inlineStr">
        <is>
          <t>toutes</t>
        </is>
      </c>
      <c r="K74" s="5" t="inlineStr">
        <is>
          <t>414, 735</t>
        </is>
      </c>
      <c r="L74" s="5" t="inlineStr">
        <is>
          <t>🫀</t>
        </is>
      </c>
      <c r="M74" s="5" t="inlineStr">
        <is>
          <t>Durant le combat à 50% de chance d'appliquer provocation sur l'ennemi, la prochaine attaque de l'ennemi devra cibler en priorité le lanceur de provocation, si plusieurs joueurs on lancé provocation, seul le dernier lanceur sera ciblé.</t>
        </is>
      </c>
    </row>
    <row r="75">
      <c r="A75" t="inlineStr">
        <is>
          <t>passif_29</t>
        </is>
      </c>
      <c r="B75" t="inlineStr">
        <is>
          <t>Buff</t>
        </is>
      </c>
      <c r="C75" t="inlineStr">
        <is>
          <t>Support</t>
        </is>
      </c>
      <c r="D75" t="inlineStr">
        <is>
          <t>Passives</t>
        </is>
      </c>
      <c r="E75" t="inlineStr"/>
      <c r="F75" t="n">
        <v>1</v>
      </c>
      <c r="G75" t="inlineStr">
        <is>
          <t>3</t>
        </is>
      </c>
      <c r="H75" t="inlineStr">
        <is>
          <t>heal_buff_percent → [10]</t>
        </is>
      </c>
      <c r="I75" t="inlineStr">
        <is>
          <t>Vitesse, Vitesse</t>
        </is>
      </c>
      <c r="J75" t="inlineStr">
        <is>
          <t>toutes</t>
        </is>
      </c>
      <c r="K75" t="inlineStr">
        <is>
          <t>-574, 735</t>
        </is>
      </c>
      <c r="L75" t="inlineStr">
        <is>
          <t>💊</t>
        </is>
      </c>
      <c r="M75" t="inlineStr">
        <is>
          <t>Les soins accordent également un bonus pour le combat de 10% d'attaque et 10% de défense sur la cible du soin et sur soit même, non cumulable.</t>
        </is>
      </c>
    </row>
    <row r="76">
      <c r="A76" s="5" t="inlineStr">
        <is>
          <t>actif_4</t>
        </is>
      </c>
      <c r="B76" s="5" t="inlineStr">
        <is>
          <t>Léthal</t>
        </is>
      </c>
      <c r="C76" s="5" t="inlineStr">
        <is>
          <t>Attaque</t>
        </is>
      </c>
      <c r="D76" s="5" t="inlineStr">
        <is>
          <t>Passives</t>
        </is>
      </c>
      <c r="E76" s="5" t="inlineStr"/>
      <c r="F76" s="5" t="n">
        <v>1</v>
      </c>
      <c r="G76" s="5" t="inlineStr">
        <is>
          <t>3</t>
        </is>
      </c>
      <c r="H76" s="5" t="inlineStr">
        <is>
          <t>armor_penetration_percent → [10]</t>
        </is>
      </c>
      <c r="I76" s="5" t="inlineStr">
        <is>
          <t>Vitesse, Vitesse</t>
        </is>
      </c>
      <c r="J76" s="5" t="inlineStr">
        <is>
          <t>toutes</t>
        </is>
      </c>
      <c r="K76" s="5" t="inlineStr">
        <is>
          <t>-80, -120</t>
        </is>
      </c>
      <c r="L76" s="5" t="inlineStr">
        <is>
          <t>🗡️</t>
        </is>
      </c>
      <c r="M76" s="5" t="inlineStr">
        <is>
          <t>Ignore 10% de la défense ennemie.</t>
        </is>
      </c>
    </row>
    <row r="77">
      <c r="A77" t="inlineStr">
        <is>
          <t>axe_or_1</t>
        </is>
      </c>
      <c r="B77" t="inlineStr">
        <is>
          <t>Bonus Or</t>
        </is>
      </c>
      <c r="C77" t="inlineStr">
        <is>
          <t>Utilité</t>
        </is>
      </c>
      <c r="D77" t="inlineStr">
        <is>
          <t>Passives</t>
        </is>
      </c>
      <c r="E77" t="inlineStr"/>
      <c r="F77" t="n">
        <v>3</v>
      </c>
      <c r="G77" t="inlineStr">
        <is>
          <t>1,2,3</t>
        </is>
      </c>
      <c r="H77" t="inlineStr">
        <is>
          <t>gold_drop_percent → [1,4,10]</t>
        </is>
      </c>
      <c r="I77" t="inlineStr">
        <is>
          <t>Confort</t>
        </is>
      </c>
      <c r="J77" t="inlineStr"/>
      <c r="K77" t="inlineStr">
        <is>
          <t>1224, 379</t>
        </is>
      </c>
      <c r="L77" t="inlineStr">
        <is>
          <t>💰</t>
        </is>
      </c>
      <c r="M77" t="inlineStr"/>
    </row>
    <row r="78">
      <c r="A78" s="5" t="inlineStr">
        <is>
          <t>axe_drop_1</t>
        </is>
      </c>
      <c r="B78" s="5" t="inlineStr">
        <is>
          <t>Chance Drop</t>
        </is>
      </c>
      <c r="C78" s="5" t="inlineStr">
        <is>
          <t>Utilité</t>
        </is>
      </c>
      <c r="D78" s="5" t="inlineStr">
        <is>
          <t>Passives</t>
        </is>
      </c>
      <c r="E78" s="5" t="inlineStr"/>
      <c r="F78" s="5" t="n">
        <v>3</v>
      </c>
      <c r="G78" s="5" t="inlineStr">
        <is>
          <t>1,2,3</t>
        </is>
      </c>
      <c r="H78" s="5" t="inlineStr">
        <is>
          <t>drop_rate_multiplier → [10,40,100]</t>
        </is>
      </c>
      <c r="I78" s="5" t="inlineStr">
        <is>
          <t>Bonus Or, Bonus XP</t>
        </is>
      </c>
      <c r="J78" s="5" t="inlineStr">
        <is>
          <t>toutes</t>
        </is>
      </c>
      <c r="K78" s="5" t="inlineStr">
        <is>
          <t>1090, 530</t>
        </is>
      </c>
      <c r="L78" s="5" t="inlineStr">
        <is>
          <t>🍀</t>
        </is>
      </c>
      <c r="M78" s="5" t="inlineStr"/>
    </row>
    <row r="79">
      <c r="A79" t="inlineStr">
        <is>
          <t>axe_xp_1</t>
        </is>
      </c>
      <c r="B79" t="inlineStr">
        <is>
          <t>Bonus XP</t>
        </is>
      </c>
      <c r="C79" t="inlineStr">
        <is>
          <t>Utilité</t>
        </is>
      </c>
      <c r="D79" t="inlineStr">
        <is>
          <t>Passives</t>
        </is>
      </c>
      <c r="E79" t="inlineStr"/>
      <c r="F79" t="n">
        <v>3</v>
      </c>
      <c r="G79" t="inlineStr">
        <is>
          <t>1,2,3</t>
        </is>
      </c>
      <c r="H79" t="inlineStr">
        <is>
          <t>xp_drop_percent → [1,4,10]</t>
        </is>
      </c>
      <c r="I79" t="inlineStr">
        <is>
          <t>Confort</t>
        </is>
      </c>
      <c r="J79" t="inlineStr"/>
      <c r="K79" t="inlineStr">
        <is>
          <t>956, 379</t>
        </is>
      </c>
      <c r="L79" t="inlineStr">
        <is>
          <t>⚡</t>
        </is>
      </c>
      <c r="M79" t="inlineStr"/>
    </row>
    <row r="80">
      <c r="A80" s="5" t="inlineStr">
        <is>
          <t>axe_confort_1</t>
        </is>
      </c>
      <c r="B80" s="5" t="inlineStr">
        <is>
          <t>Confort</t>
        </is>
      </c>
      <c r="C80" s="5" t="inlineStr">
        <is>
          <t>Utilité</t>
        </is>
      </c>
      <c r="D80" s="5" t="inlineStr">
        <is>
          <t>Passives</t>
        </is>
      </c>
      <c r="E80" s="5" t="inlineStr"/>
      <c r="F80" s="5" t="n">
        <v>1</v>
      </c>
      <c r="G80" s="5" t="inlineStr">
        <is>
          <t>1</t>
        </is>
      </c>
      <c r="H80" s="5" t="inlineStr">
        <is>
          <t>unlock_feature → [tower_bonus_ticket]</t>
        </is>
      </c>
      <c r="I80" s="5" t="inlineStr">
        <is>
          <t>Chance Drop</t>
        </is>
      </c>
      <c r="J80" s="5" t="inlineStr"/>
      <c r="K80" s="5" t="inlineStr">
        <is>
          <t>1090, 720</t>
        </is>
      </c>
      <c r="L80" s="5" t="inlineStr">
        <is>
          <t>🎁</t>
        </is>
      </c>
      <c r="M80" s="5" t="inlineStr">
        <is>
          <t>+1 ticket par jour pour la tour solo (non cumulable : 1 maximum par jour).</t>
        </is>
      </c>
    </row>
    <row r="81">
      <c r="A81" t="inlineStr">
        <is>
          <t>axe_or_2</t>
        </is>
      </c>
      <c r="B81" t="inlineStr">
        <is>
          <t>Bonus Or</t>
        </is>
      </c>
      <c r="C81" t="inlineStr">
        <is>
          <t>Utilité</t>
        </is>
      </c>
      <c r="D81" t="inlineStr">
        <is>
          <t>Passives</t>
        </is>
      </c>
      <c r="E81" t="inlineStr"/>
      <c r="F81" t="n">
        <v>3</v>
      </c>
      <c r="G81" t="inlineStr">
        <is>
          <t>1,2,3</t>
        </is>
      </c>
      <c r="H81" t="inlineStr">
        <is>
          <t>gold_drop_percent → [1,4,10]</t>
        </is>
      </c>
      <c r="I81" t="inlineStr">
        <is>
          <t>Confort</t>
        </is>
      </c>
      <c r="J81" t="inlineStr"/>
      <c r="K81" t="inlineStr">
        <is>
          <t>1224, 854</t>
        </is>
      </c>
      <c r="L81" t="inlineStr">
        <is>
          <t>💰</t>
        </is>
      </c>
      <c r="M81" t="inlineStr"/>
    </row>
    <row r="82">
      <c r="A82" s="5" t="inlineStr">
        <is>
          <t>axe_drop_2</t>
        </is>
      </c>
      <c r="B82" s="5" t="inlineStr">
        <is>
          <t>Chance Drop</t>
        </is>
      </c>
      <c r="C82" s="5" t="inlineStr">
        <is>
          <t>Utilité</t>
        </is>
      </c>
      <c r="D82" s="5" t="inlineStr">
        <is>
          <t>Passives</t>
        </is>
      </c>
      <c r="E82" s="5" t="inlineStr"/>
      <c r="F82" s="5" t="n">
        <v>3</v>
      </c>
      <c r="G82" s="5" t="inlineStr">
        <is>
          <t>1,2,3</t>
        </is>
      </c>
      <c r="H82" s="5" t="inlineStr">
        <is>
          <t>drop_rate_multiplier → [10,40,100]</t>
        </is>
      </c>
      <c r="I82" s="5" t="inlineStr">
        <is>
          <t>Bonus Or, Bonus XP</t>
        </is>
      </c>
      <c r="J82" s="5" t="inlineStr">
        <is>
          <t>toutes</t>
        </is>
      </c>
      <c r="K82" s="5" t="inlineStr">
        <is>
          <t>1090, 1005</t>
        </is>
      </c>
      <c r="L82" s="5" t="inlineStr">
        <is>
          <t>🍀</t>
        </is>
      </c>
      <c r="M82" s="5" t="inlineStr"/>
    </row>
    <row r="83">
      <c r="A83" t="inlineStr">
        <is>
          <t>axe_xp_2</t>
        </is>
      </c>
      <c r="B83" t="inlineStr">
        <is>
          <t>Bonus XP</t>
        </is>
      </c>
      <c r="C83" t="inlineStr">
        <is>
          <t>Utilité</t>
        </is>
      </c>
      <c r="D83" t="inlineStr">
        <is>
          <t>Passives</t>
        </is>
      </c>
      <c r="E83" t="inlineStr"/>
      <c r="F83" t="n">
        <v>3</v>
      </c>
      <c r="G83" t="inlineStr">
        <is>
          <t>1,2,3</t>
        </is>
      </c>
      <c r="H83" t="inlineStr">
        <is>
          <t>xp_drop_percent → [1,4,10]</t>
        </is>
      </c>
      <c r="I83" t="inlineStr">
        <is>
          <t>Confort</t>
        </is>
      </c>
      <c r="J83" t="inlineStr"/>
      <c r="K83" t="inlineStr">
        <is>
          <t>956, 854</t>
        </is>
      </c>
      <c r="L83" t="inlineStr">
        <is>
          <t>⚡</t>
        </is>
      </c>
      <c r="M83" t="inlineStr"/>
    </row>
    <row r="84">
      <c r="A84" s="5" t="inlineStr">
        <is>
          <t>axe_confort_2</t>
        </is>
      </c>
      <c r="B84" s="5" t="inlineStr">
        <is>
          <t>Confort</t>
        </is>
      </c>
      <c r="C84" s="5" t="inlineStr">
        <is>
          <t>Utilité</t>
        </is>
      </c>
      <c r="D84" s="5" t="inlineStr">
        <is>
          <t>Passives</t>
        </is>
      </c>
      <c r="E84" s="5" t="inlineStr"/>
      <c r="F84" s="5" t="n">
        <v>1</v>
      </c>
      <c r="G84" s="5" t="inlineStr">
        <is>
          <t>1</t>
        </is>
      </c>
      <c r="H84" s="5" t="inlineStr">
        <is>
          <t>unlock_feature → [notify_events]</t>
        </is>
      </c>
      <c r="I84" s="5" t="inlineStr">
        <is>
          <t>Chance Drop</t>
        </is>
      </c>
      <c r="J84" s="5" t="inlineStr"/>
      <c r="K84" s="5" t="inlineStr">
        <is>
          <t>1090, 1195</t>
        </is>
      </c>
      <c r="L84" s="5" t="inlineStr">
        <is>
          <t>🎁</t>
        </is>
      </c>
      <c r="M84" s="5" t="inlineStr">
        <is>
          <t>Reçois un message privé quand un événement apparaît.</t>
        </is>
      </c>
    </row>
    <row r="85">
      <c r="A85" t="inlineStr">
        <is>
          <t>base_guerrier</t>
        </is>
      </c>
      <c r="B85" t="inlineStr">
        <is>
          <t>Guerrier</t>
        </is>
      </c>
      <c r="C85" t="inlineStr">
        <is>
          <t>Classe</t>
        </is>
      </c>
      <c r="D85" t="inlineStr">
        <is>
          <t>Classes</t>
        </is>
      </c>
      <c r="E85" t="inlineStr"/>
      <c r="F85" t="n">
        <v>1</v>
      </c>
      <c r="G85" t="inlineStr">
        <is>
          <t>3</t>
        </is>
      </c>
      <c r="H85" s="8" t="inlineStr">
        <is>
          <t>grant_class → [guerrier]
damage_dealt_percent → [5]</t>
        </is>
      </c>
      <c r="I85" t="inlineStr">
        <is>
          <t>Voie du Guerrier</t>
        </is>
      </c>
      <c r="J85" t="inlineStr"/>
      <c r="K85" t="inlineStr">
        <is>
          <t>24, 320</t>
        </is>
      </c>
      <c r="L85" t="inlineStr">
        <is>
          <t>🗡️</t>
        </is>
      </c>
      <c r="M85" t="inlineStr">
        <is>
          <t>Classe de base de la Voie du Guerrier : +5 % de dégâts infligés. Cumulable avec les autres classes de base.</t>
        </is>
      </c>
    </row>
    <row r="86">
      <c r="A86" s="5" t="inlineStr">
        <is>
          <t>base_gardien</t>
        </is>
      </c>
      <c r="B86" s="5" t="inlineStr">
        <is>
          <t>Gardien</t>
        </is>
      </c>
      <c r="C86" s="5" t="inlineStr">
        <is>
          <t>Classe</t>
        </is>
      </c>
      <c r="D86" s="5" t="inlineStr">
        <is>
          <t>Classes</t>
        </is>
      </c>
      <c r="E86" s="5" t="inlineStr"/>
      <c r="F86" s="5" t="n">
        <v>1</v>
      </c>
      <c r="G86" s="5" t="inlineStr">
        <is>
          <t>3</t>
        </is>
      </c>
      <c r="H86" s="7" t="inlineStr">
        <is>
          <t>grant_class → [gardien]
threat_percent → [50]
damage_taken_reduction_percent → [5]
defense_to_attack_percent → [25]</t>
        </is>
      </c>
      <c r="I86" s="5" t="inlineStr">
        <is>
          <t>Voie du Protecteur</t>
        </is>
      </c>
      <c r="J86" s="5" t="inlineStr"/>
      <c r="K86" s="5" t="inlineStr">
        <is>
          <t>-28, 586</t>
        </is>
      </c>
      <c r="L86" s="5" t="inlineStr">
        <is>
          <t>🧱</t>
        </is>
      </c>
      <c r="M86" s="5" t="inlineStr">
        <is>
          <t>Classe de base de la Voie du Protecteur : attire davantage les coups (+50 % d'aggro), −5 % de dégâts reçus, et 25 % de sa défense s'ajoutent à son attaque. Cumulable avec les autres classes de base.</t>
        </is>
      </c>
    </row>
    <row r="87">
      <c r="A87" t="inlineStr">
        <is>
          <t>base_clerc</t>
        </is>
      </c>
      <c r="B87" t="inlineStr">
        <is>
          <t>Clerc</t>
        </is>
      </c>
      <c r="C87" t="inlineStr">
        <is>
          <t>Classe</t>
        </is>
      </c>
      <c r="D87" t="inlineStr">
        <is>
          <t>Classes</t>
        </is>
      </c>
      <c r="E87" t="inlineStr"/>
      <c r="F87" t="n">
        <v>1</v>
      </c>
      <c r="G87" t="inlineStr">
        <is>
          <t>3</t>
        </is>
      </c>
      <c r="H87" s="8" t="inlineStr">
        <is>
          <t>grant_class → [clerc]
ally_heal_on_hit_percent → [20]</t>
        </is>
      </c>
      <c r="I87" t="inlineStr">
        <is>
          <t>Voie du Support</t>
        </is>
      </c>
      <c r="J87" t="inlineStr"/>
      <c r="K87" t="inlineStr">
        <is>
          <t>-204, 432</t>
        </is>
      </c>
      <c r="L87" t="inlineStr">
        <is>
          <t>🕊️</t>
        </is>
      </c>
      <c r="M87" t="inlineStr">
        <is>
          <t>Classe de base de la Voie du Support : 20 % des dégâts infligés soignent l'allié le plus blessé, sans remplacer l'attaque. Cumulable avec les autres classes de base.</t>
        </is>
      </c>
    </row>
  </sheetData>
  <autoFilter ref="A1:M8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42" customWidth="1" min="2" max="2"/>
    <col width="12" customWidth="1" min="3" max="3"/>
    <col width="12" customWidth="1" min="4" max="4"/>
    <col width="19" customWidth="1" min="5" max="5"/>
    <col width="25" customWidth="1" min="6" max="6"/>
    <col width="48" customWidth="1" min="7" max="7"/>
    <col width="48" customWidth="1" min="8" max="8"/>
  </cols>
  <sheetData>
    <row r="1" ht="22" customHeight="1">
      <c r="A1" s="3" t="inlineStr">
        <is>
          <t>Code</t>
        </is>
      </c>
      <c r="B1" s="3" t="inlineStr">
        <is>
          <t>Nom</t>
        </is>
      </c>
      <c r="C1" s="3" t="inlineStr">
        <is>
          <t>Icône</t>
        </is>
      </c>
      <c r="D1" s="3" t="inlineStr">
        <is>
          <t>Exclusif</t>
        </is>
      </c>
      <c r="E1" s="3" t="inlineStr">
        <is>
          <t>Condition</t>
        </is>
      </c>
      <c r="F1" s="3" t="inlineStr">
        <is>
          <t>Cible / Valeur</t>
        </is>
      </c>
      <c r="G1" s="3" t="inlineStr">
        <is>
          <t>Effets</t>
        </is>
      </c>
      <c r="H1" s="3" t="inlineStr">
        <is>
          <t>Description</t>
        </is>
      </c>
    </row>
    <row r="2">
      <c r="A2" s="5" t="inlineStr">
        <is>
          <t>slime_slayer</t>
        </is>
      </c>
      <c r="B2" s="5" t="inlineStr">
        <is>
          <t>Slime Slayer</t>
        </is>
      </c>
      <c r="C2" s="5" t="inlineStr">
        <is>
          <t>🟢</t>
        </is>
      </c>
      <c r="D2" s="5" t="inlineStr">
        <is>
          <t>non</t>
        </is>
      </c>
      <c r="E2" s="5" t="inlineStr">
        <is>
          <t>kills_family</t>
        </is>
      </c>
      <c r="F2" s="5" t="inlineStr">
        <is>
          <t>slime / 100</t>
        </is>
      </c>
      <c r="G2" s="7" t="inlineStr">
        <is>
          <t>damage_bonus_vs_family → target=slime, value=10
damage_reduction_from_family → target=slime, value=10</t>
        </is>
      </c>
      <c r="H2" s="5" t="inlineStr">
        <is>
          <t>Tueur de slimes confirmé. +10% dégâts infligés et -10% dégâts subis face aux slimes.</t>
        </is>
      </c>
    </row>
    <row r="3">
      <c r="A3" t="inlineStr">
        <is>
          <t>gobelin_slayer</t>
        </is>
      </c>
      <c r="B3" t="inlineStr">
        <is>
          <t>Gobelin Slayer</t>
        </is>
      </c>
      <c r="C3" t="inlineStr">
        <is>
          <t>👹</t>
        </is>
      </c>
      <c r="D3" t="inlineStr">
        <is>
          <t>non</t>
        </is>
      </c>
      <c r="E3" t="inlineStr">
        <is>
          <t>kills_family</t>
        </is>
      </c>
      <c r="F3" t="inlineStr">
        <is>
          <t>gobelin / 100</t>
        </is>
      </c>
      <c r="G3" s="8" t="inlineStr">
        <is>
          <t>damage_bonus_vs_family → target=gobelin, value=10
damage_reduction_from_family → target=gobelin, value=10</t>
        </is>
      </c>
      <c r="H3" t="inlineStr">
        <is>
          <t>Bourreau des gobelins. +10% dégâts infligés et -10% dégâts subis face aux gobelins.</t>
        </is>
      </c>
    </row>
    <row r="4">
      <c r="A4" s="5" t="inlineStr">
        <is>
          <t>fleau_semaine</t>
        </is>
      </c>
      <c r="B4" s="5" t="inlineStr">
        <is>
          <t>Fléau de la semaine</t>
        </is>
      </c>
      <c r="C4" s="5" t="inlineStr">
        <is>
          <t>⚔️</t>
        </is>
      </c>
      <c r="D4" s="5" t="inlineStr">
        <is>
          <t>oui</t>
        </is>
      </c>
      <c r="E4" s="5" t="inlineStr">
        <is>
          <t>weekly_role_trial</t>
        </is>
      </c>
      <c r="F4" s="5" t="inlineStr">
        <is>
          <t>dps</t>
        </is>
      </c>
      <c r="G4" s="5" t="inlineStr">
        <is>
          <t>damage_dealt_pct → value=2</t>
        </is>
      </c>
      <c r="H4" s="5" t="inlineStr">
        <is>
          <t>Meilleur score DPS de la semaine aux défis (/defi). +2 % de dégâts infligés. Remis en jeu chaque dimanche à 20 h.</t>
        </is>
      </c>
    </row>
    <row r="5">
      <c r="A5" t="inlineStr">
        <is>
          <t>bastion_semaine</t>
        </is>
      </c>
      <c r="B5" t="inlineStr">
        <is>
          <t>Bastion de la semaine</t>
        </is>
      </c>
      <c r="C5" t="inlineStr">
        <is>
          <t>🛡️</t>
        </is>
      </c>
      <c r="D5" t="inlineStr">
        <is>
          <t>oui</t>
        </is>
      </c>
      <c r="E5" t="inlineStr">
        <is>
          <t>weekly_role_trial</t>
        </is>
      </c>
      <c r="F5" t="inlineStr">
        <is>
          <t>tank</t>
        </is>
      </c>
      <c r="G5" t="inlineStr">
        <is>
          <t>damage_taken_reduction_pct → value=2</t>
        </is>
      </c>
      <c r="H5" t="inlineStr">
        <is>
          <t>Meilleur score Tank de la semaine aux défis (/defi). −2 % de dégâts reçus. Remis en jeu chaque dimanche à 20 h.</t>
        </is>
      </c>
    </row>
    <row r="6">
      <c r="A6" s="5" t="inlineStr">
        <is>
          <t>ange_gardien_semaine</t>
        </is>
      </c>
      <c r="B6" s="5" t="inlineStr">
        <is>
          <t>Ange gardien de la semaine</t>
        </is>
      </c>
      <c r="C6" s="5" t="inlineStr">
        <is>
          <t>💚</t>
        </is>
      </c>
      <c r="D6" s="5" t="inlineStr">
        <is>
          <t>oui</t>
        </is>
      </c>
      <c r="E6" s="5" t="inlineStr">
        <is>
          <t>weekly_role_trial</t>
        </is>
      </c>
      <c r="F6" s="5" t="inlineStr">
        <is>
          <t>soutien</t>
        </is>
      </c>
      <c r="G6" s="5" t="inlineStr">
        <is>
          <t>heal_power_pct → value=2</t>
        </is>
      </c>
      <c r="H6" s="5" t="inlineStr">
        <is>
          <t>Meilleur score Soutien de la semaine aux défis (/defi). +2 % de soins donnés. Remis en jeu chaque dimanche à 20 h.</t>
        </is>
      </c>
    </row>
    <row r="7">
      <c r="A7" t="inlineStr">
        <is>
          <t>champion_semaine</t>
        </is>
      </c>
      <c r="B7" t="inlineStr">
        <is>
          <t>Champion de la semaine</t>
        </is>
      </c>
      <c r="C7" t="inlineStr">
        <is>
          <t>👑</t>
        </is>
      </c>
      <c r="D7" t="inlineStr">
        <is>
          <t>oui</t>
        </is>
      </c>
      <c r="E7" t="inlineStr">
        <is>
          <t>weekly_role_trial</t>
        </is>
      </c>
      <c r="F7" t="inlineStr">
        <is>
          <t>general</t>
        </is>
      </c>
      <c r="G7" t="inlineStr">
        <is>
          <t>champion_all_stats → value=1</t>
        </is>
      </c>
      <c r="H7" t="inlineStr">
        <is>
          <t>Meilleur classement général de la semaine aux défis (/defi). +1 % sur toutes vos stats (multiplicatif sur PV/atk/def, additif sur crit/esquive, +1 flat sur vitesse/régen). Remis en jeu chaque dimanche à 20 h.</t>
        </is>
      </c>
    </row>
    <row r="8">
      <c r="A8" s="5" t="inlineStr">
        <is>
          <t>farmer_fou</t>
        </is>
      </c>
      <c r="B8" s="5" t="inlineStr">
        <is>
          <t>Le Farmer Fou</t>
        </is>
      </c>
      <c r="C8" s="5" t="inlineStr">
        <is>
          <t>🌾</t>
        </is>
      </c>
      <c r="D8" s="5" t="inlineStr">
        <is>
          <t>oui</t>
        </is>
      </c>
      <c r="E8" s="5" t="inlineStr">
        <is>
          <t>kills_record</t>
        </is>
      </c>
      <c r="F8" s="5" t="inlineStr">
        <is>
          <t>—</t>
        </is>
      </c>
      <c r="G8" s="5" t="inlineStr">
        <is>
          <t>gold_xp_bonus_pct → value=1</t>
        </is>
      </c>
      <c r="H8" s="5" t="inlineStr">
        <is>
          <t>Détenteur du record absolu de monstres tués. +1% sur l'or et l'XP gagnés à la fin d'un combat (uniquement pour le détenteur). Perdu dès qu'un autre joueur dépasse votre record.</t>
        </is>
      </c>
    </row>
    <row r="9">
      <c r="A9" t="inlineStr">
        <is>
          <t>bourreau</t>
        </is>
      </c>
      <c r="B9" t="inlineStr">
        <is>
          <t>Le Bourreau</t>
        </is>
      </c>
      <c r="C9" t="inlineStr">
        <is>
          <t>🩸</t>
        </is>
      </c>
      <c r="D9" t="inlineStr">
        <is>
          <t>non</t>
        </is>
      </c>
      <c r="E9" t="inlineStr">
        <is>
          <t>kills_total</t>
        </is>
      </c>
      <c r="F9" t="inlineStr">
        <is>
          <t>500</t>
        </is>
      </c>
      <c r="G9" t="inlineStr">
        <is>
          <t>crit_damage_flat → value=5</t>
        </is>
      </c>
      <c r="H9" t="inlineStr">
        <is>
          <t>Tueur impitoyable de 500 monstres au total. +5% sur les dégâts critiques (additif sur crit_damage).</t>
        </is>
      </c>
    </row>
    <row r="10">
      <c r="A10" s="5" t="inlineStr">
        <is>
          <t>intouchable</t>
        </is>
      </c>
      <c r="B10" s="5" t="inlineStr">
        <is>
          <t>L'Intouchable</t>
        </is>
      </c>
      <c r="C10" s="5" t="inlineStr">
        <is>
          <t>🌪️</t>
        </is>
      </c>
      <c r="D10" s="5" t="inlineStr">
        <is>
          <t>non</t>
        </is>
      </c>
      <c r="E10" s="5" t="inlineStr">
        <is>
          <t>dodges_total</t>
        </is>
      </c>
      <c r="F10" s="5" t="inlineStr">
        <is>
          <t>100</t>
        </is>
      </c>
      <c r="G10" s="5" t="inlineStr">
        <is>
          <t>dodge_flat → value=1</t>
        </is>
      </c>
      <c r="H10" s="5" t="inlineStr">
        <is>
          <t>Esquiveur aguerri (100 esquives encaissées en combat de groupe). +1% d'esquive permanent.</t>
        </is>
      </c>
    </row>
    <row r="11">
      <c r="A11" t="inlineStr">
        <is>
          <t>habitue_taverne</t>
        </is>
      </c>
      <c r="B11" t="inlineStr">
        <is>
          <t>Habitué de la taverne</t>
        </is>
      </c>
      <c r="C11" t="inlineStr">
        <is>
          <t>🍻</t>
        </is>
      </c>
      <c r="D11" t="inlineStr">
        <is>
          <t>non</t>
        </is>
      </c>
      <c r="E11" t="inlineStr">
        <is>
          <t>daily_streak</t>
        </is>
      </c>
      <c r="F11" t="inlineStr">
        <is>
          <t>7</t>
        </is>
      </c>
      <c r="G11" t="inlineStr">
        <is>
          <t>gold_xp_bonus_pct → value=1</t>
        </is>
      </c>
      <c r="H11" t="inlineStr">
        <is>
          <t>Série /daily de 7 jours. +1 % sur l'or et l'XP gagnés en combat.</t>
        </is>
      </c>
    </row>
    <row r="12">
      <c r="A12" s="5" t="inlineStr">
        <is>
          <t>taverne_addict</t>
        </is>
      </c>
      <c r="B12" s="5" t="inlineStr">
        <is>
          <t>Taverne Addict</t>
        </is>
      </c>
      <c r="C12" s="5" t="inlineStr">
        <is>
          <t>🍺</t>
        </is>
      </c>
      <c r="D12" s="5" t="inlineStr">
        <is>
          <t>non</t>
        </is>
      </c>
      <c r="E12" s="5" t="inlineStr">
        <is>
          <t>daily_streak</t>
        </is>
      </c>
      <c r="F12" s="5" t="inlineStr">
        <is>
          <t>30</t>
        </is>
      </c>
      <c r="G12" s="5" t="inlineStr">
        <is>
          <t>crit_damage_flat → value=3</t>
        </is>
      </c>
      <c r="H12" s="5" t="inlineStr">
        <is>
          <t>Série /daily de 30 jours. +3 % de dégâts critiques.</t>
        </is>
      </c>
    </row>
    <row r="13">
      <c r="A13" t="inlineStr">
        <is>
          <t>pilier_taverne</t>
        </is>
      </c>
      <c r="B13" t="inlineStr">
        <is>
          <t>Pilier de la taverne</t>
        </is>
      </c>
      <c r="C13" t="inlineStr">
        <is>
          <t>🏛️</t>
        </is>
      </c>
      <c r="D13" t="inlineStr">
        <is>
          <t>non</t>
        </is>
      </c>
      <c r="E13" t="inlineStr">
        <is>
          <t>daily_streak</t>
        </is>
      </c>
      <c r="F13" t="inlineStr">
        <is>
          <t>100</t>
        </is>
      </c>
      <c r="G13" t="inlineStr">
        <is>
          <t>gold_xp_bonus_pct → value=2</t>
        </is>
      </c>
      <c r="H13" t="inlineStr">
        <is>
          <t>Série /daily de 100 jours. +2 % sur l'or et l'XP gagnés en combat.</t>
        </is>
      </c>
    </row>
    <row r="14">
      <c r="A14" s="5" t="inlineStr">
        <is>
          <t>slime_chasseur_legendaire</t>
        </is>
      </c>
      <c r="B14" s="5" t="inlineStr">
        <is>
          <t>Chasseur Légendaire — Slime</t>
        </is>
      </c>
      <c r="C14" s="5" t="inlineStr">
        <is>
          <t>🏹</t>
        </is>
      </c>
      <c r="D14" s="5" t="inlineStr">
        <is>
          <t>non</t>
        </is>
      </c>
      <c r="E14" s="5" t="inlineStr">
        <is>
          <t>kills_mob</t>
        </is>
      </c>
      <c r="F14" s="5" t="inlineStr">
        <is>
          <t>slime / 50</t>
        </is>
      </c>
      <c r="G14" s="5" t="inlineStr">
        <is>
          <t>drop_rate_bonus_vs_mob → target=slime, value=5</t>
        </is>
      </c>
      <c r="H14" s="5" t="inlineStr">
        <is>
          <t>50 slimes tués. +5% drop rate sur les slimes (multiplicatif, préserve la rareté).</t>
        </is>
      </c>
    </row>
    <row r="15">
      <c r="A15" t="inlineStr">
        <is>
          <t>gobelin_chasseur_legendaire</t>
        </is>
      </c>
      <c r="B15" t="inlineStr">
        <is>
          <t>Chasseur Légendaire — Gobelin</t>
        </is>
      </c>
      <c r="C15" t="inlineStr">
        <is>
          <t>🏹</t>
        </is>
      </c>
      <c r="D15" t="inlineStr">
        <is>
          <t>non</t>
        </is>
      </c>
      <c r="E15" t="inlineStr">
        <is>
          <t>kills_mob</t>
        </is>
      </c>
      <c r="F15" t="inlineStr">
        <is>
          <t>gobelin / 50</t>
        </is>
      </c>
      <c r="G15" t="inlineStr">
        <is>
          <t>drop_rate_bonus_vs_mob → target=gobelin, value=5</t>
        </is>
      </c>
      <c r="H15" t="inlineStr">
        <is>
          <t>50 gobelins tués. +5% drop rate sur les gobelins.</t>
        </is>
      </c>
    </row>
    <row r="16">
      <c r="A16" s="5" t="inlineStr">
        <is>
          <t>gobelin_combattant_chasseur_legendaire</t>
        </is>
      </c>
      <c r="B16" s="5" t="inlineStr">
        <is>
          <t>Chasseur Légendaire — Gobelin Combattant</t>
        </is>
      </c>
      <c r="C16" s="5" t="inlineStr">
        <is>
          <t>🏹</t>
        </is>
      </c>
      <c r="D16" s="5" t="inlineStr">
        <is>
          <t>non</t>
        </is>
      </c>
      <c r="E16" s="5" t="inlineStr">
        <is>
          <t>kills_mob</t>
        </is>
      </c>
      <c r="F16" s="5" t="inlineStr">
        <is>
          <t>gobelin_combattant / 50</t>
        </is>
      </c>
      <c r="G16" s="5" t="inlineStr">
        <is>
          <t>drop_rate_bonus_vs_mob → target=gobelin_combattant, value=5</t>
        </is>
      </c>
      <c r="H16" s="5" t="inlineStr">
        <is>
          <t>50 gobelins combattants tués. +5% drop rate sur cette espèce.</t>
        </is>
      </c>
    </row>
    <row r="17">
      <c r="A17" t="inlineStr">
        <is>
          <t>gobelin_chaman_chasseur_legendaire</t>
        </is>
      </c>
      <c r="B17" t="inlineStr">
        <is>
          <t>Chasseur Légendaire — Gobelin Chaman</t>
        </is>
      </c>
      <c r="C17" t="inlineStr">
        <is>
          <t>🏹</t>
        </is>
      </c>
      <c r="D17" t="inlineStr">
        <is>
          <t>non</t>
        </is>
      </c>
      <c r="E17" t="inlineStr">
        <is>
          <t>kills_mob</t>
        </is>
      </c>
      <c r="F17" t="inlineStr">
        <is>
          <t>gobelin_chaman / 50</t>
        </is>
      </c>
      <c r="G17" t="inlineStr">
        <is>
          <t>drop_rate_bonus_vs_mob → target=gobelin_chaman, value=5</t>
        </is>
      </c>
      <c r="H17" t="inlineStr">
        <is>
          <t>50 gobelins chamans tués. +5% drop rate sur cette espèce.</t>
        </is>
      </c>
    </row>
    <row r="18">
      <c r="A18" s="5" t="inlineStr">
        <is>
          <t>gobelin_geant_chasseur_legendaire</t>
        </is>
      </c>
      <c r="B18" s="5" t="inlineStr">
        <is>
          <t>Chasseur Légendaire — Gobelin Géant</t>
        </is>
      </c>
      <c r="C18" s="5" t="inlineStr">
        <is>
          <t>🏹</t>
        </is>
      </c>
      <c r="D18" s="5" t="inlineStr">
        <is>
          <t>non</t>
        </is>
      </c>
      <c r="E18" s="5" t="inlineStr">
        <is>
          <t>kills_mob</t>
        </is>
      </c>
      <c r="F18" s="5" t="inlineStr">
        <is>
          <t>gobelin_geant / 50</t>
        </is>
      </c>
      <c r="G18" s="5" t="inlineStr">
        <is>
          <t>drop_rate_bonus_vs_mob → target=gobelin_geant, value=5</t>
        </is>
      </c>
      <c r="H18" s="5" t="inlineStr">
        <is>
          <t>50 gobelins géants tués. +5% drop rate sur cette espèce.</t>
        </is>
      </c>
    </row>
    <row r="19">
      <c r="A19" t="inlineStr">
        <is>
          <t>gobelin_runique_chasseur_legendaire</t>
        </is>
      </c>
      <c r="B19" t="inlineStr">
        <is>
          <t>Chasseur Légendaire — Gobelin Runique</t>
        </is>
      </c>
      <c r="C19" t="inlineStr">
        <is>
          <t>🏹</t>
        </is>
      </c>
      <c r="D19" t="inlineStr">
        <is>
          <t>non</t>
        </is>
      </c>
      <c r="E19" t="inlineStr">
        <is>
          <t>kills_mob</t>
        </is>
      </c>
      <c r="F19" t="inlineStr">
        <is>
          <t>gobelin_runique / 50</t>
        </is>
      </c>
      <c r="G19" t="inlineStr">
        <is>
          <t>drop_rate_bonus_vs_mob → target=gobelin_runique, value=5</t>
        </is>
      </c>
      <c r="H19" t="inlineStr">
        <is>
          <t>50 gobelins runiques tués. +5% drop rate sur cette espèce.</t>
        </is>
      </c>
    </row>
    <row r="20">
      <c r="A20" s="5" t="inlineStr">
        <is>
          <t>gobelin_ballon_chasseur_legendaire</t>
        </is>
      </c>
      <c r="B20" s="5" t="inlineStr">
        <is>
          <t>Chasseur Légendaire — Gobelin Ballon</t>
        </is>
      </c>
      <c r="C20" s="5" t="inlineStr">
        <is>
          <t>🏹</t>
        </is>
      </c>
      <c r="D20" s="5" t="inlineStr">
        <is>
          <t>non</t>
        </is>
      </c>
      <c r="E20" s="5" t="inlineStr">
        <is>
          <t>kills_mob</t>
        </is>
      </c>
      <c r="F20" s="5" t="inlineStr">
        <is>
          <t>gobelin_ballon / 50</t>
        </is>
      </c>
      <c r="G20" s="5" t="inlineStr">
        <is>
          <t>drop_rate_bonus_vs_mob → target=gobelin_ballon, value=5</t>
        </is>
      </c>
      <c r="H20" s="5" t="inlineStr">
        <is>
          <t>50 gobelins ballons tués. +5% drop rate sur cette espèce.</t>
        </is>
      </c>
    </row>
    <row r="21">
      <c r="A21" t="inlineStr">
        <is>
          <t>gobelin_assassin_chasseur_legendaire</t>
        </is>
      </c>
      <c r="B21" t="inlineStr">
        <is>
          <t>Chasseur Légendaire — Gobelin Assassin</t>
        </is>
      </c>
      <c r="C21" t="inlineStr">
        <is>
          <t>🏹</t>
        </is>
      </c>
      <c r="D21" t="inlineStr">
        <is>
          <t>non</t>
        </is>
      </c>
      <c r="E21" t="inlineStr">
        <is>
          <t>kills_mob</t>
        </is>
      </c>
      <c r="F21" t="inlineStr">
        <is>
          <t>gobelin_assassin / 50</t>
        </is>
      </c>
      <c r="G21" t="inlineStr">
        <is>
          <t>drop_rate_bonus_vs_mob → target=gobelin_assassin, value=5</t>
        </is>
      </c>
      <c r="H21" t="inlineStr">
        <is>
          <t>50 gobelins assassins tués. +5% drop rate sur cette espèce.</t>
        </is>
      </c>
    </row>
    <row r="22">
      <c r="A22" s="5" t="inlineStr">
        <is>
          <t>gobelin_superieur_chasseur_legendaire</t>
        </is>
      </c>
      <c r="B22" s="5" t="inlineStr">
        <is>
          <t>Chasseur Légendaire — Gobelin Supérieur</t>
        </is>
      </c>
      <c r="C22" s="5" t="inlineStr">
        <is>
          <t>🏹</t>
        </is>
      </c>
      <c r="D22" s="5" t="inlineStr">
        <is>
          <t>non</t>
        </is>
      </c>
      <c r="E22" s="5" t="inlineStr">
        <is>
          <t>kills_mob</t>
        </is>
      </c>
      <c r="F22" s="5" t="inlineStr">
        <is>
          <t>gobelin_superieur / 50</t>
        </is>
      </c>
      <c r="G22" s="5" t="inlineStr">
        <is>
          <t>drop_rate_bonus_vs_mob → target=gobelin_superieur, value=5</t>
        </is>
      </c>
      <c r="H22" s="5" t="inlineStr">
        <is>
          <t>50 gobelins supérieurs tués. +5% drop rate sur cette espèce.</t>
        </is>
      </c>
    </row>
    <row r="23">
      <c r="A23" t="inlineStr">
        <is>
          <t>mvp_world_boss</t>
        </is>
      </c>
      <c r="B23" t="inlineStr">
        <is>
          <t>MVP des World Boss</t>
        </is>
      </c>
      <c r="C23" t="inlineStr">
        <is>
          <t>🏆</t>
        </is>
      </c>
      <c r="D23" t="inlineStr">
        <is>
          <t>oui</t>
        </is>
      </c>
      <c r="E23" t="inlineStr">
        <is>
          <t>world_boss_mvp</t>
        </is>
      </c>
      <c r="F23" t="inlineStr">
        <is>
          <t>1</t>
        </is>
      </c>
      <c r="G23" t="inlineStr">
        <is>
          <t>champion_all_stats → value=2</t>
        </is>
      </c>
      <c r="H23" t="inlineStr">
        <is>
          <t>Meilleur contributeur du dernier world boss vaincu. +2% sur toutes vos stats. Transmis au MVP du prochain boss.</t>
        </is>
      </c>
    </row>
    <row r="24">
      <c r="A24" s="5" t="inlineStr">
        <is>
          <t>tueur_slime_titan</t>
        </is>
      </c>
      <c r="B24" s="5" t="inlineStr">
        <is>
          <t>Tueur du Titan Visqueux</t>
        </is>
      </c>
      <c r="C24" s="5" t="inlineStr">
        <is>
          <t>⚔️</t>
        </is>
      </c>
      <c r="D24" s="5" t="inlineStr">
        <is>
          <t>non</t>
        </is>
      </c>
      <c r="E24" s="5" t="inlineStr">
        <is>
          <t>world_boss_kill</t>
        </is>
      </c>
      <c r="F24" s="5" t="inlineStr">
        <is>
          <t>slime_titan / 1</t>
        </is>
      </c>
      <c r="G24" s="5" t="inlineStr">
        <is>
          <t>crit_damage_flat → value=3</t>
        </is>
      </c>
      <c r="H24" s="5" t="inlineStr">
        <is>
          <t>A participé à la victoire contre Titan Visqueux. +3 dégâts critiques.</t>
        </is>
      </c>
    </row>
    <row r="25">
      <c r="A25" t="inlineStr">
        <is>
          <t>tueur_gobelin_warlord</t>
        </is>
      </c>
      <c r="B25" t="inlineStr">
        <is>
          <t>Tueur du Seigneur de Guerre Gobelin</t>
        </is>
      </c>
      <c r="C25" t="inlineStr">
        <is>
          <t>⚔️</t>
        </is>
      </c>
      <c r="D25" t="inlineStr">
        <is>
          <t>non</t>
        </is>
      </c>
      <c r="E25" t="inlineStr">
        <is>
          <t>world_boss_kill</t>
        </is>
      </c>
      <c r="F25" t="inlineStr">
        <is>
          <t>gobelin_warlord / 1</t>
        </is>
      </c>
      <c r="G25" t="inlineStr">
        <is>
          <t>crit_damage_flat → value=3</t>
        </is>
      </c>
      <c r="H25" t="inlineStr">
        <is>
          <t>A participé à la victoire contre Seigneur de Guerre Gobelin. +3 dégâts critiques.</t>
        </is>
      </c>
    </row>
    <row r="26">
      <c r="A26" s="5" t="inlineStr">
        <is>
          <t>tueur_stone_colossus</t>
        </is>
      </c>
      <c r="B26" s="5" t="inlineStr">
        <is>
          <t>Tueur du Colosse de Pierre</t>
        </is>
      </c>
      <c r="C26" s="5" t="inlineStr">
        <is>
          <t>⚔️</t>
        </is>
      </c>
      <c r="D26" s="5" t="inlineStr">
        <is>
          <t>non</t>
        </is>
      </c>
      <c r="E26" s="5" t="inlineStr">
        <is>
          <t>world_boss_kill</t>
        </is>
      </c>
      <c r="F26" s="5" t="inlineStr">
        <is>
          <t>stone_colossus / 1</t>
        </is>
      </c>
      <c r="G26" s="5" t="inlineStr">
        <is>
          <t>crit_damage_flat → value=3</t>
        </is>
      </c>
      <c r="H26" s="5" t="inlineStr">
        <is>
          <t>A participé à la victoire contre Colosse de Pierre. +3 dégâts critiques.</t>
        </is>
      </c>
    </row>
    <row r="27">
      <c r="A27" t="inlineStr">
        <is>
          <t>tueur_shadow_wraith</t>
        </is>
      </c>
      <c r="B27" t="inlineStr">
        <is>
          <t>Tueur du Spectre des Ténèbres</t>
        </is>
      </c>
      <c r="C27" t="inlineStr">
        <is>
          <t>⚔️</t>
        </is>
      </c>
      <c r="D27" t="inlineStr">
        <is>
          <t>non</t>
        </is>
      </c>
      <c r="E27" t="inlineStr">
        <is>
          <t>world_boss_kill</t>
        </is>
      </c>
      <c r="F27" t="inlineStr">
        <is>
          <t>shadow_wraith / 1</t>
        </is>
      </c>
      <c r="G27" t="inlineStr">
        <is>
          <t>crit_damage_flat → value=3</t>
        </is>
      </c>
      <c r="H27" t="inlineStr">
        <is>
          <t>A participé à la victoire contre Spectre des Ténèbres. +3 dégâts critiques.</t>
        </is>
      </c>
    </row>
    <row r="28">
      <c r="A28" s="5" t="inlineStr">
        <is>
          <t>tueur_ancient_dragon</t>
        </is>
      </c>
      <c r="B28" s="5" t="inlineStr">
        <is>
          <t>Tueur du Dragon Ancestral</t>
        </is>
      </c>
      <c r="C28" s="5" t="inlineStr">
        <is>
          <t>⚔️</t>
        </is>
      </c>
      <c r="D28" s="5" t="inlineStr">
        <is>
          <t>non</t>
        </is>
      </c>
      <c r="E28" s="5" t="inlineStr">
        <is>
          <t>world_boss_kill</t>
        </is>
      </c>
      <c r="F28" s="5" t="inlineStr">
        <is>
          <t>ancient_dragon / 1</t>
        </is>
      </c>
      <c r="G28" s="5" t="inlineStr">
        <is>
          <t>crit_damage_flat → value=3</t>
        </is>
      </c>
      <c r="H28" s="5" t="inlineStr">
        <is>
          <t>A participé à la victoire contre Dragon Ancestral. +3 dégâts critiques.</t>
        </is>
      </c>
    </row>
    <row r="29">
      <c r="A29" t="inlineStr">
        <is>
          <t>ma_survie_avant_tout</t>
        </is>
      </c>
      <c r="B29" t="inlineStr">
        <is>
          <t>Ma survie avant tout</t>
        </is>
      </c>
      <c r="C29" t="inlineStr">
        <is>
          <t>🛡️</t>
        </is>
      </c>
      <c r="D29" t="inlineStr">
        <is>
          <t>non</t>
        </is>
      </c>
      <c r="E29" t="inlineStr">
        <is>
          <t>event</t>
        </is>
      </c>
      <c r="F29" t="inlineStr">
        <is>
          <t>—</t>
        </is>
      </c>
      <c r="G29" s="8" t="inlineStr">
        <is>
          <t>dodge_flat → value=1
speed_flat → value=1
defense_flat → value=10
hp_max_flat → value=200</t>
        </is>
      </c>
      <c r="H29" t="inlineStr">
        <is>
          <t>A ignoré une « petite fille » qui s'est révélée être un monstre déguisé — l'instinct de survie récompensé. Esquive +1%, Vitesse +1, Défense +10, PV max +200.</t>
        </is>
      </c>
    </row>
  </sheetData>
  <autoFilter ref="A1:H2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2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48" customWidth="1" min="11" max="11"/>
    <col width="13" customWidth="1" min="12" max="12"/>
    <col width="48" customWidth="1" min="13" max="13"/>
  </cols>
  <sheetData>
    <row r="1" ht="22" customHeight="1">
      <c r="A1" s="3" t="inlineStr">
        <is>
          <t>Code</t>
        </is>
      </c>
      <c r="B1" s="3" t="inlineStr">
        <is>
          <t>Nom</t>
        </is>
      </c>
      <c r="C1" s="3" t="inlineStr">
        <is>
          <t>Famille</t>
        </is>
      </c>
      <c r="D1" s="3" t="inlineStr">
        <is>
          <t>PV max</t>
        </is>
      </c>
      <c r="E1" s="3" t="inlineStr">
        <is>
          <t>Atk</t>
        </is>
      </c>
      <c r="F1" s="3" t="inlineStr">
        <is>
          <t>Def</t>
        </is>
      </c>
      <c r="G1" s="3" t="inlineStr">
        <is>
          <t>Vit</t>
        </is>
      </c>
      <c r="H1" s="3" t="inlineStr">
        <is>
          <t>Crit %</t>
        </is>
      </c>
      <c r="I1" s="3" t="inlineStr">
        <is>
          <t>Crit dmg</t>
        </is>
      </c>
      <c r="J1" s="3" t="inlineStr">
        <is>
          <t>Esquive</t>
        </is>
      </c>
      <c r="K1" s="3" t="inlineStr">
        <is>
          <t>Modifiers</t>
        </is>
      </c>
      <c r="L1" s="3" t="inlineStr">
        <is>
          <t>Poids spawn</t>
        </is>
      </c>
      <c r="M1" s="3" t="inlineStr">
        <is>
          <t>Lore</t>
        </is>
      </c>
    </row>
    <row r="2">
      <c r="A2" s="5" t="inlineStr">
        <is>
          <t>slime_titan</t>
        </is>
      </c>
      <c r="B2" s="5" t="inlineStr">
        <is>
          <t>Titan Visqueux</t>
        </is>
      </c>
      <c r="C2" s="5" t="inlineStr"/>
      <c r="D2" s="5" t="n">
        <v>13000</v>
      </c>
      <c r="E2" s="5" t="n">
        <v>110</v>
      </c>
      <c r="F2" s="5" t="n">
        <v>9</v>
      </c>
      <c r="G2" s="5" t="n">
        <v>8</v>
      </c>
      <c r="H2" s="5" t="n">
        <v>0</v>
      </c>
      <c r="I2" s="5" t="n">
        <v>100</v>
      </c>
      <c r="J2" s="5" t="n">
        <v>0</v>
      </c>
      <c r="K2" s="7" t="inlineStr">
        <is>
          <t>damage_immunity_threshold = 5
auto_heal_per_turn = 32</t>
        </is>
      </c>
      <c r="L2" s="5" t="n">
        <v>100</v>
      </c>
      <c r="M2" s="5" t="inlineStr">
        <is>
          <t>Un slime ancestral devenu colosse, sa masse étouffante absorbe les coups les plus faibles et se régénère lentement.</t>
        </is>
      </c>
    </row>
    <row r="3">
      <c r="A3" t="inlineStr">
        <is>
          <t>gobelin_warlord</t>
        </is>
      </c>
      <c r="B3" t="inlineStr">
        <is>
          <t>Seigneur de Guerre Gobelin</t>
        </is>
      </c>
      <c r="C3" t="inlineStr"/>
      <c r="D3" t="n">
        <v>16000</v>
      </c>
      <c r="E3" t="n">
        <v>212</v>
      </c>
      <c r="F3" t="n">
        <v>16</v>
      </c>
      <c r="G3" t="n">
        <v>12</v>
      </c>
      <c r="H3" t="n">
        <v>5</v>
      </c>
      <c r="I3" t="n">
        <v>130</v>
      </c>
      <c r="J3" t="n">
        <v>5</v>
      </c>
      <c r="K3" s="8" t="inlineStr">
        <is>
          <t>enrage_below_pct = 30
enrage_attack_multiplier = 1.5
adds = {'attack': 148, 'summon_turn_interval': 4, 'max_active': 3}</t>
        </is>
      </c>
      <c r="L3" t="n">
        <v>8</v>
      </c>
      <c r="M3" t="inlineStr">
        <is>
          <t>Le chef d'une horde sanguinaire. Plus il est blessé, plus sa rage l'amplifie, et il appelle des renforts.</t>
        </is>
      </c>
    </row>
    <row r="4">
      <c r="A4" s="5" t="inlineStr">
        <is>
          <t>stone_colossus</t>
        </is>
      </c>
      <c r="B4" s="5" t="inlineStr">
        <is>
          <t>Colosse de Pierre</t>
        </is>
      </c>
      <c r="C4" s="5" t="inlineStr"/>
      <c r="D4" s="5" t="n">
        <v>209000</v>
      </c>
      <c r="E4" s="5" t="n">
        <v>350</v>
      </c>
      <c r="F4" s="5" t="n">
        <v>23</v>
      </c>
      <c r="G4" s="5" t="n">
        <v>5</v>
      </c>
      <c r="H4" s="5" t="n">
        <v>0</v>
      </c>
      <c r="I4" s="5" t="n">
        <v>100</v>
      </c>
      <c r="J4" s="5" t="n">
        <v>0</v>
      </c>
      <c r="K4" s="7" t="inlineStr">
        <is>
          <t>damage_immunity_threshold = 27
reflect_pct = 15</t>
        </is>
      </c>
      <c r="L4" s="5" t="n">
        <v>3</v>
      </c>
      <c r="M4" s="5" t="inlineStr">
        <is>
          <t>Une statue runique animée par d'antiques magies. Inébranlable face aux frappes faibles, sa carapace renvoie une part des coups.</t>
        </is>
      </c>
    </row>
    <row r="5">
      <c r="A5" t="inlineStr">
        <is>
          <t>shadow_wraith</t>
        </is>
      </c>
      <c r="B5" t="inlineStr">
        <is>
          <t>Spectre des Ténèbres</t>
        </is>
      </c>
      <c r="C5" t="inlineStr"/>
      <c r="D5" t="n">
        <v>186000</v>
      </c>
      <c r="E5" t="n">
        <v>473</v>
      </c>
      <c r="F5" t="n">
        <v>30</v>
      </c>
      <c r="G5" t="n">
        <v>18</v>
      </c>
      <c r="H5" t="n">
        <v>10</v>
      </c>
      <c r="I5" t="n">
        <v>150</v>
      </c>
      <c r="J5" t="n">
        <v>30</v>
      </c>
      <c r="K5" s="8" t="inlineStr">
        <is>
          <t>crit_immunity = True
phases = [{'below_pct': 50, 'attack_multiplier': 1.3}, {'below_pct': 20, 'attack_multiplier': 1.6}]</t>
        </is>
      </c>
      <c r="L5" t="n">
        <v>2</v>
      </c>
      <c r="M5" t="inlineStr">
        <is>
          <t>Une entité incorporelle qui glisse entre les coups. Les coups critiques traversent sa forme étherée, et il mute en s'affaiblissant.</t>
        </is>
      </c>
    </row>
    <row r="6">
      <c r="A6" s="5" t="inlineStr">
        <is>
          <t>ancient_dragon</t>
        </is>
      </c>
      <c r="B6" s="5" t="inlineStr">
        <is>
          <t>Dragon Ancestral</t>
        </is>
      </c>
      <c r="C6" s="5" t="inlineStr"/>
      <c r="D6" s="5" t="n">
        <v>111000</v>
      </c>
      <c r="E6" s="5" t="n">
        <v>585</v>
      </c>
      <c r="F6" s="5" t="n">
        <v>37</v>
      </c>
      <c r="G6" s="5" t="n">
        <v>15</v>
      </c>
      <c r="H6" s="5" t="n">
        <v>25</v>
      </c>
      <c r="I6" s="5" t="n">
        <v>200</v>
      </c>
      <c r="J6" s="5" t="n">
        <v>10</v>
      </c>
      <c r="K6" s="7" t="inlineStr">
        <is>
          <t>damage_immunity_threshold = 43
enrage_below_pct = 25
enrage_attack_multiplier = 1.8
auto_heal_per_turn = 179
reflect_pct = 20
adds = {'attack': 351, 'summon_turn_interval': 5, 'max_active': 2}
phases = [{'below_pct': 50, 'attack_multiplier': 1.25}]</t>
        </is>
      </c>
      <c r="L6" s="5" t="n">
        <v>1</v>
      </c>
      <c r="M6" s="5" t="inlineStr">
        <is>
          <t>Le sommet de l'évolution. Inflige des coups dévastateurs, renvoie les frappes, invoque des drakelings, se régénère et entre en rage à la fin.</t>
        </is>
      </c>
    </row>
  </sheetData>
  <autoFilter ref="A1:M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2" customWidth="1" min="4" max="4"/>
    <col width="8" customWidth="1" min="5" max="5"/>
  </cols>
  <sheetData>
    <row r="1">
      <c r="A1" s="9" t="inlineStr">
        <is>
          <t>⚙️ Calibrage du score de puissance — NE PAS supprimer (formules liées)</t>
        </is>
      </c>
      <c r="D1" s="10" t="inlineStr">
        <is>
          <t>Score ≥</t>
        </is>
      </c>
      <c r="E1" s="10" t="inlineStr">
        <is>
          <t>Rang</t>
        </is>
      </c>
    </row>
    <row r="2">
      <c r="A2" s="11" t="inlineStr">
        <is>
          <t>Base ATK</t>
        </is>
      </c>
      <c r="B2" t="n">
        <v>10</v>
      </c>
      <c r="D2" t="n">
        <v>0</v>
      </c>
      <c r="E2" t="inlineStr">
        <is>
          <t>F-</t>
        </is>
      </c>
    </row>
    <row r="3">
      <c r="A3" s="11" t="inlineStr">
        <is>
          <t>Base DEF</t>
        </is>
      </c>
      <c r="B3" t="n">
        <v>5</v>
      </c>
      <c r="D3" t="n">
        <v>206</v>
      </c>
      <c r="E3" t="inlineStr">
        <is>
          <t>F</t>
        </is>
      </c>
    </row>
    <row r="4">
      <c r="A4" s="11" t="inlineStr">
        <is>
          <t>Base PV</t>
        </is>
      </c>
      <c r="B4" t="n">
        <v>100</v>
      </c>
      <c r="D4" t="n">
        <v>383</v>
      </c>
      <c r="E4" t="inlineStr">
        <is>
          <t>F+</t>
        </is>
      </c>
    </row>
    <row r="5">
      <c r="A5" s="11" t="inlineStr">
        <is>
          <t>Base Crit %</t>
        </is>
      </c>
      <c r="B5" t="n">
        <v>5</v>
      </c>
      <c r="D5" t="n">
        <v>686</v>
      </c>
      <c r="E5" t="inlineStr">
        <is>
          <t>E-</t>
        </is>
      </c>
    </row>
    <row r="6">
      <c r="A6" s="11" t="inlineStr">
        <is>
          <t>Base Crit dmg (100 = neutre)</t>
        </is>
      </c>
      <c r="B6" t="n">
        <v>150</v>
      </c>
      <c r="D6" t="n">
        <v>966</v>
      </c>
      <c r="E6" t="inlineStr">
        <is>
          <t>E</t>
        </is>
      </c>
    </row>
    <row r="7">
      <c r="A7" s="11" t="inlineStr">
        <is>
          <t>Base Esquive %</t>
        </is>
      </c>
      <c r="B7" t="n">
        <v>0</v>
      </c>
      <c r="D7" t="n">
        <v>1352</v>
      </c>
      <c r="E7" t="inlineStr">
        <is>
          <t>E+</t>
        </is>
      </c>
    </row>
    <row r="8">
      <c r="A8" s="11" t="inlineStr">
        <is>
          <t>Base Vitesse</t>
        </is>
      </c>
      <c r="B8" t="n">
        <v>5</v>
      </c>
      <c r="D8" t="n">
        <v>2259</v>
      </c>
      <c r="E8" t="inlineStr">
        <is>
          <t>D-</t>
        </is>
      </c>
    </row>
    <row r="9">
      <c r="A9" s="11" t="inlineStr">
        <is>
          <t>K_DEF (1 DEF = N PV effectifs)</t>
        </is>
      </c>
      <c r="B9" t="n">
        <v>25</v>
      </c>
      <c r="D9" t="n">
        <v>2998</v>
      </c>
      <c r="E9" t="inlineStr">
        <is>
          <t>D</t>
        </is>
      </c>
    </row>
    <row r="10">
      <c r="A10" s="11" t="inlineStr">
        <is>
          <t>SCALE (diviseur)</t>
        </is>
      </c>
      <c r="B10" t="n">
        <v>42</v>
      </c>
      <c r="D10" t="n">
        <v>3992</v>
      </c>
      <c r="E10" t="inlineStr">
        <is>
          <t>D+</t>
        </is>
      </c>
    </row>
    <row r="11">
      <c r="A11" s="11" t="inlineStr">
        <is>
          <t>Power base (auto)</t>
        </is>
      </c>
      <c r="B11">
        <f>$B$2*(1+($B$5/100)*MAX(0,$B$6-100)/100)*(1+$B$8/100)*(($B$4+$B$3*$B$9)/MAX(0.01,1-$B$7/100))/$B$10</f>
        <v/>
      </c>
      <c r="D11" t="n">
        <v>4886</v>
      </c>
      <c r="E11" t="inlineStr">
        <is>
          <t>C-</t>
        </is>
      </c>
    </row>
    <row r="12">
      <c r="D12" t="n">
        <v>7610</v>
      </c>
      <c r="E12" t="inlineStr">
        <is>
          <t>C</t>
        </is>
      </c>
    </row>
    <row r="13">
      <c r="D13" t="n">
        <v>8898</v>
      </c>
      <c r="E13" t="inlineStr">
        <is>
          <t>C+</t>
        </is>
      </c>
    </row>
    <row r="14">
      <c r="D14" t="n">
        <v>10460</v>
      </c>
      <c r="E14" t="inlineStr">
        <is>
          <t>B-</t>
        </is>
      </c>
    </row>
    <row r="15">
      <c r="D15" t="n">
        <v>14968</v>
      </c>
      <c r="E15" t="inlineStr">
        <is>
          <t>B</t>
        </is>
      </c>
    </row>
    <row r="16">
      <c r="D16" t="n">
        <v>16978</v>
      </c>
      <c r="E16" t="inlineStr">
        <is>
          <t>B+</t>
        </is>
      </c>
    </row>
    <row r="17">
      <c r="D17" t="n">
        <v>19589</v>
      </c>
      <c r="E17" t="inlineStr">
        <is>
          <t>A-</t>
        </is>
      </c>
    </row>
    <row r="18">
      <c r="D18" t="n">
        <v>22354</v>
      </c>
      <c r="E18" t="inlineStr">
        <is>
          <t>A</t>
        </is>
      </c>
    </row>
    <row r="19">
      <c r="D19" t="n">
        <v>24996</v>
      </c>
      <c r="E19" t="inlineStr">
        <is>
          <t>A+</t>
        </is>
      </c>
    </row>
    <row r="20">
      <c r="D20" t="n">
        <v>28086</v>
      </c>
      <c r="E20" t="inlineStr">
        <is>
          <t>S-</t>
        </is>
      </c>
    </row>
    <row r="21">
      <c r="D21" t="n">
        <v>30905</v>
      </c>
      <c r="E21" t="inlineStr">
        <is>
          <t>S</t>
        </is>
      </c>
    </row>
    <row r="22">
      <c r="D22" t="n">
        <v>42500</v>
      </c>
      <c r="E22" t="inlineStr">
        <is>
          <t>S+</t>
        </is>
      </c>
    </row>
    <row r="23">
      <c r="D23" t="n">
        <v>68100</v>
      </c>
      <c r="E23" t="inlineStr">
        <is>
          <t>SS-</t>
        </is>
      </c>
    </row>
    <row r="24">
      <c r="D24" t="n">
        <v>113000</v>
      </c>
      <c r="E24" t="inlineStr">
        <is>
          <t>SS</t>
        </is>
      </c>
    </row>
    <row r="25">
      <c r="D25" t="n">
        <v>201100</v>
      </c>
      <c r="E25" t="inlineStr">
        <is>
          <t>SS+</t>
        </is>
      </c>
    </row>
    <row r="26">
      <c r="D26" t="n">
        <v>408300</v>
      </c>
      <c r="E26" t="inlineStr">
        <is>
          <t>SSS-</t>
        </is>
      </c>
    </row>
    <row r="27">
      <c r="D27" t="n">
        <v>918700</v>
      </c>
      <c r="E27" t="inlineStr">
        <is>
          <t>SSS</t>
        </is>
      </c>
    </row>
    <row r="28">
      <c r="D28" t="n">
        <v>2048700</v>
      </c>
      <c r="E28" t="inlineStr">
        <is>
          <t>SSS+</t>
        </is>
      </c>
    </row>
    <row r="29">
      <c r="D29" t="n">
        <v>4404700</v>
      </c>
      <c r="E29" t="inlineStr">
        <is>
          <t>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2026-10-25T16:07:45Z</dcterms:created>
  <dcterms:modified xsi:type="dcterms:W3CDTF">2026-10-25T16:07:45Z</dcterms:modified>
</cp:coreProperties>
</file>