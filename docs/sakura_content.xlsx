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📦 Ressources" sheetId="5" state="visible" r:id="rId5"/>
    <sheet name="🛠️ Recettes" sheetId="6" state="visible" r:id="rId6"/>
    <sheet name="🏪 Shop" sheetId="7" state="visible" r:id="rId7"/>
    <sheet name="🧬 Classes" sheetId="8" state="visible" r:id="rId8"/>
    <sheet name="🌳 Skill Tree" sheetId="9" state="visible" r:id="rId9"/>
    <sheet name="🏷️ Titres" sheetId="10" state="visible" r:id="rId10"/>
    <sheet name="🌸 Panoplies" sheetId="11" state="visible" r:id="rId11"/>
    <sheet name="🐉 World Bosses" sheetId="12" state="visible" r:id="rId12"/>
    <sheet name="⚙️ Calibrage" sheetId="13" state="visible" r:id="rId13"/>
  </sheets>
  <definedNames>
    <definedName name="_xlnm._FilterDatabase" localSheetId="1" hidden="1">'🎽 Équipements'!$A$1:$R$123</definedName>
    <definedName name="_xlnm._FilterDatabase" localSheetId="2" hidden="1">'👹 Mobs'!$A$1:$S$17</definedName>
    <definedName name="_xlnm._FilterDatabase" localSheetId="3" hidden="1">'🧪 Consommables'!$A$1:$H$4</definedName>
    <definedName name="_xlnm._FilterDatabase" localSheetId="4" hidden="1">'📦 Ressources'!$A$1:$H$12</definedName>
    <definedName name="_xlnm._FilterDatabase" localSheetId="5" hidden="1">'🛠️ Recettes'!$A$1:$G$118</definedName>
    <definedName name="_xlnm._FilterDatabase" localSheetId="6" hidden="1">'🏪 Shop'!$A$1:$H$10</definedName>
    <definedName name="_xlnm._FilterDatabase" localSheetId="7" hidden="1">'🧬 Classes'!$A$1:$L$4</definedName>
    <definedName name="_xlnm._FilterDatabase" localSheetId="8" hidden="1">'🌳 Skill Tree'!$A$1:$I$149</definedName>
    <definedName name="_xlnm._FilterDatabase" localSheetId="9" hidden="1">'🏷️ Titres'!$A$1:$H$23</definedName>
    <definedName name="_xlnm._FilterDatabase" localSheetId="10" hidden="1">'🌸 Panoplies'!$A$1:$I$8</definedName>
    <definedName name="_xlnm._FilterDatabase" localSheetId="11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164" fontId="2" fillId="3" borderId="0" pivotButton="0" quotePrefix="0" xfId="0"/>
    <xf numFmtId="0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2026-07-12 15:44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TOUS les équipements en 1 feuille. Filtre par Type (casque…) ou Panoplie via les flèches d'en-tête. Power calculé en direct.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ressources de craft.</t>
        </is>
      </c>
    </row>
    <row r="8">
      <c r="A8" t="inlineStr">
        <is>
          <t>🛠️ Recettes</t>
        </is>
      </c>
      <c r="B8" t="inlineStr">
        <is>
          <t>Recettes /craft et /forge.</t>
        </is>
      </c>
    </row>
    <row r="9">
      <c r="A9" t="inlineStr">
        <is>
          <t>🏪 Shop</t>
        </is>
      </c>
      <c r="B9" t="inlineStr">
        <is>
          <t>Prix d'achat / vente du shop.</t>
        </is>
      </c>
    </row>
    <row r="10">
      <c r="A10" t="inlineStr">
        <is>
          <t>🧬 Classes</t>
        </is>
      </c>
      <c r="B10" t="inlineStr">
        <is>
          <t>Classes joueur + bonus + déblocage.</t>
        </is>
      </c>
    </row>
    <row r="11">
      <c r="A11" t="inlineStr">
        <is>
          <t>🌳 Skill Tree</t>
        </is>
      </c>
      <c r="B11" t="inlineStr">
        <is>
          <t>Tous les nœuds de l'arbre.</t>
        </is>
      </c>
    </row>
    <row r="12">
      <c r="A12" t="inlineStr">
        <is>
          <t>🏷️ Titres</t>
        </is>
      </c>
      <c r="B12" t="inlineStr">
        <is>
          <t>Titres, conditions et effets.</t>
        </is>
      </c>
    </row>
    <row r="13">
      <c r="A13" t="inlineStr">
        <is>
          <t>🌸 Panoplies</t>
        </is>
      </c>
      <c r="B13" t="inlineStr">
        <is>
          <t>Familles de set + paliers de bonus.</t>
        </is>
      </c>
    </row>
    <row r="14">
      <c r="A14" t="inlineStr">
        <is>
          <t>🐉 World Bosses</t>
        </is>
      </c>
      <c r="B14" t="inlineStr">
        <is>
          <t>Bosses + modifiers.</t>
        </is>
      </c>
    </row>
    <row r="15">
      <c r="A15" t="inlineStr">
        <is>
          <t>⚙️ Calibrage</t>
        </is>
      </c>
      <c r="B15" t="inlineStr">
        <is>
          <t>Constantes du score de puissance. NE PAS supprimer.</t>
        </is>
      </c>
    </row>
    <row r="17">
      <c r="A17" s="4" t="inlineStr">
        <is>
          <t>🛠️ Comment équilibrer (round-trip)</t>
        </is>
      </c>
    </row>
    <row r="18">
      <c r="A18" t="inlineStr">
        <is>
          <t>1. Filtre : clique la flèche d'un en-tête (ex : colonne Type = « Casque », ou Panoplie = « gobelin »).</t>
        </is>
      </c>
    </row>
    <row r="19">
      <c r="A19" t="inlineStr">
        <is>
          <t>2. Édite les colonnes de stats (Atk, Def, PV, Crit %, Crit dmg, Esquive, Vitesse, Regen), le Prix, la Rareté, le Slot, la Panoplie, le Nom…</t>
        </is>
      </c>
    </row>
    <row r="20">
      <c r="A20" t="inlineStr">
        <is>
          <t>3. La colonne « Power » (fond gris) est AUTO-CALCULÉE — ne l'édite pas, elle se met à jour toute seule quand tu changes une stat.</t>
        </is>
      </c>
    </row>
    <row r="21">
      <c r="A21" t="inlineStr">
        <is>
          <t>4. Tu peux AJOUTER une ligne d'équipement : remplis au moins Code + Type. Tu peux en supprimer aussi.</t>
        </is>
      </c>
    </row>
    <row r="22">
      <c r="A22" t="inlineStr">
        <is>
          <t>5. Renvoie-moi le fichier .xlsx modifié → je réapplique via scripts/import_content_spreadsheet.py (puis seed + déploiement).</t>
        </is>
      </c>
    </row>
    <row r="23">
      <c r="A23" t="inlineStr"/>
    </row>
    <row r="24">
      <c r="A24" t="inlineStr">
        <is>
          <t>Conventions stats : crit_chance &amp; esquive en 0..100 ; crit_damage 100 = neutre, 150 = ×1,5 ; défense soustractive (1 DEF ≈ 25 PV effectifs).</t>
        </is>
      </c>
    </row>
    <row r="25">
      <c r="A25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8" customWidth="1" min="2" max="2"/>
    <col width="18" customWidth="1" min="3" max="3"/>
    <col width="16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9" customWidth="1" min="16" max="16"/>
    <col width="12" customWidth="1" min="17" max="17"/>
    <col width="48" customWidth="1" min="18" max="1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Panoplie</t>
        </is>
      </c>
      <c r="F1" s="3" t="inlineStr">
        <is>
          <t>Rareté</t>
        </is>
      </c>
      <c r="G1" s="3" t="inlineStr">
        <is>
          <t>2-mains</t>
        </is>
      </c>
      <c r="H1" s="3" t="inlineStr">
        <is>
          <t>Atk</t>
        </is>
      </c>
      <c r="I1" s="3" t="inlineStr">
        <is>
          <t>Def</t>
        </is>
      </c>
      <c r="J1" s="3" t="inlineStr">
        <is>
          <t>PV</t>
        </is>
      </c>
      <c r="K1" s="3" t="inlineStr">
        <is>
          <t>Crit %</t>
        </is>
      </c>
      <c r="L1" s="3" t="inlineStr">
        <is>
          <t>Crit dmg</t>
        </is>
      </c>
      <c r="M1" s="3" t="inlineStr">
        <is>
          <t>Esquive</t>
        </is>
      </c>
      <c r="N1" s="3" t="inlineStr">
        <is>
          <t>Vitesse</t>
        </is>
      </c>
      <c r="O1" s="3" t="inlineStr">
        <is>
          <t>Regen</t>
        </is>
      </c>
      <c r="P1" s="3" t="inlineStr">
        <is>
          <t>Power</t>
        </is>
      </c>
      <c r="Q1" s="3" t="inlineStr">
        <is>
          <t>Prix achat</t>
        </is>
      </c>
      <c r="R1" s="3" t="inlineStr">
        <is>
          <t>Description</t>
        </is>
      </c>
    </row>
    <row r="2">
      <c r="A2" s="5" t="inlineStr">
        <is>
          <t>warlord_blade</t>
        </is>
      </c>
      <c r="B2" s="5" t="inlineStr">
        <is>
          <t>Lame du Seigneur de Guerre</t>
        </is>
      </c>
      <c r="C2" s="5" t="inlineStr">
        <is>
          <t>Arme</t>
        </is>
      </c>
      <c r="D2" s="5" t="inlineStr">
        <is>
          <t>main_droite</t>
        </is>
      </c>
      <c r="E2" s="5" t="inlineStr">
        <is>
          <t>boss</t>
        </is>
      </c>
      <c r="F2" s="5" t="inlineStr">
        <is>
          <t>epic</t>
        </is>
      </c>
      <c r="G2" s="5" t="inlineStr">
        <is>
          <t>non</t>
        </is>
      </c>
      <c r="H2" s="5" t="n">
        <v>18</v>
      </c>
      <c r="I2" s="5" t="n">
        <v>0</v>
      </c>
      <c r="J2" s="5" t="n">
        <v>0</v>
      </c>
      <c r="K2" s="5" t="n">
        <v>4</v>
      </c>
      <c r="L2" s="5" t="n">
        <v>0</v>
      </c>
      <c r="M2" s="5" t="n">
        <v>0</v>
      </c>
      <c r="N2" s="5" t="n">
        <v>0</v>
      </c>
      <c r="O2" s="5" t="n">
        <v>0</v>
      </c>
      <c r="P2" s="6">
        <f>ROUND((('⚙️ Calibrage'!$B$2+H2)*(1+(('⚙️ Calibrage'!$B$5+K2)/100)*MAX(0,('⚙️ Calibrage'!$B$6+L2)-100)/100)*(1+('⚙️ Calibrage'!$B$8+N2)/100))*((('⚙️ Calibrage'!$B$4+J2)+('⚙️ Calibrage'!$B$3+I2)*'⚙️ Calibrage'!$B$9)/MAX(0.01,1-('⚙️ Calibrage'!$B$7+M2)/100))/'⚙️ Calibrage'!$B$10-'⚙️ Calibrage'!$B$11,1)</f>
        <v/>
      </c>
      <c r="Q2" s="5" t="n">
        <v>0</v>
      </c>
      <c r="R2" s="5" t="inlineStr">
        <is>
          <t>Trophée du Seigneur Gobelin. Tranchante et sanguinaire.</t>
        </is>
      </c>
    </row>
    <row r="3">
      <c r="A3" t="inlineStr">
        <is>
          <t>gobelin_greataxe</t>
        </is>
      </c>
      <c r="B3" t="inlineStr">
        <is>
          <t>Grande hache gobeline</t>
        </is>
      </c>
      <c r="C3" t="inlineStr">
        <is>
          <t>Arme</t>
        </is>
      </c>
      <c r="D3" t="inlineStr">
        <is>
          <t>main_droite</t>
        </is>
      </c>
      <c r="E3" t="inlineStr">
        <is>
          <t>gobelin</t>
        </is>
      </c>
      <c r="F3" t="inlineStr">
        <is>
          <t>rare</t>
        </is>
      </c>
      <c r="G3" t="inlineStr">
        <is>
          <t>oui</t>
        </is>
      </c>
      <c r="H3" t="n">
        <v>16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s="6">
        <f>ROUND((('⚙️ Calibrage'!$B$2+H3)*(1+(('⚙️ Calibrage'!$B$5+K3)/100)*MAX(0,('⚙️ Calibrage'!$B$6+L3)-100)/100)*(1+('⚙️ Calibrage'!$B$8+N3)/100))*((('⚙️ Calibrage'!$B$4+J3)+('⚙️ Calibrage'!$B$3+I3)*'⚙️ Calibrage'!$B$9)/MAX(0.01,1-('⚙️ Calibrage'!$B$7+M3)/100))/'⚙️ Calibrage'!$B$10-'⚙️ Calibrage'!$B$11,1)</f>
        <v/>
      </c>
      <c r="Q3" t="n">
        <v>0</v>
      </c>
      <c r="R3" t="inlineStr">
        <is>
          <t>2 mains — crit massifs, on se découvre complètement.</t>
        </is>
      </c>
    </row>
    <row r="4">
      <c r="A4" s="5" t="inlineStr">
        <is>
          <t>gobelin_axe</t>
        </is>
      </c>
      <c r="B4" s="5" t="inlineStr">
        <is>
          <t>Hache gobeline</t>
        </is>
      </c>
      <c r="C4" s="5" t="inlineStr">
        <is>
          <t>Arme</t>
        </is>
      </c>
      <c r="D4" s="5" t="inlineStr">
        <is>
          <t>main_droite</t>
        </is>
      </c>
      <c r="E4" s="5" t="inlineStr">
        <is>
          <t>gobelin</t>
        </is>
      </c>
      <c r="F4" s="5" t="inlineStr">
        <is>
          <t>uncommon</t>
        </is>
      </c>
      <c r="G4" s="5" t="inlineStr">
        <is>
          <t>non</t>
        </is>
      </c>
      <c r="H4" s="5" t="n">
        <v>8</v>
      </c>
      <c r="I4" s="5" t="n">
        <v>0</v>
      </c>
      <c r="J4" s="5" t="n">
        <v>0</v>
      </c>
      <c r="K4" s="5" t="n">
        <v>2</v>
      </c>
      <c r="L4" s="5" t="n">
        <v>0</v>
      </c>
      <c r="M4" s="5" t="n">
        <v>0</v>
      </c>
      <c r="N4" s="5" t="n">
        <v>0</v>
      </c>
      <c r="O4" s="5" t="n">
        <v>0</v>
      </c>
      <c r="P4" s="6">
        <f>ROUND((('⚙️ Calibrage'!$B$2+H4)*(1+(('⚙️ Calibrage'!$B$5+K4)/100)*MAX(0,('⚙️ Calibrage'!$B$6+L4)-100)/100)*(1+('⚙️ Calibrage'!$B$8+N4)/100))*((('⚙️ Calibrage'!$B$4+J4)+('⚙️ Calibrage'!$B$3+I4)*'⚙️ Calibrage'!$B$9)/MAX(0.01,1-('⚙️ Calibrage'!$B$7+M4)/100))/'⚙️ Calibrage'!$B$10-'⚙️ Calibrage'!$B$11,1)</f>
        <v/>
      </c>
      <c r="Q4" s="5" t="n">
        <v>0</v>
      </c>
      <c r="R4" s="5" t="inlineStr">
        <is>
          <t>Hache fruste taillée par les gobelins. Une main.</t>
        </is>
      </c>
    </row>
    <row r="5">
      <c r="A5" t="inlineStr">
        <is>
          <t>gobelin_blade</t>
        </is>
      </c>
      <c r="B5" t="inlineStr">
        <is>
          <t>Lame gobeline</t>
        </is>
      </c>
      <c r="C5" t="inlineStr">
        <is>
          <t>Arme</t>
        </is>
      </c>
      <c r="D5" t="inlineStr">
        <is>
          <t>main_droite</t>
        </is>
      </c>
      <c r="E5" t="inlineStr">
        <is>
          <t>gobelin</t>
        </is>
      </c>
      <c r="F5" t="inlineStr">
        <is>
          <t>uncommon</t>
        </is>
      </c>
      <c r="G5" t="inlineStr">
        <is>
          <t>non</t>
        </is>
      </c>
      <c r="H5" t="n">
        <v>8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s="6">
        <f>ROUND((('⚙️ Calibrage'!$B$2+H5)*(1+(('⚙️ Calibrage'!$B$5+K5)/100)*MAX(0,('⚙️ Calibrage'!$B$6+L5)-100)/100)*(1+('⚙️ Calibrage'!$B$8+N5)/100))*((('⚙️ Calibrage'!$B$4+J5)+('⚙️ Calibrage'!$B$3+I5)*'⚙️ Calibrage'!$B$9)/MAX(0.01,1-('⚙️ Calibrage'!$B$7+M5)/100))/'⚙️ Calibrage'!$B$10-'⚙️ Calibrage'!$B$11,1)</f>
        <v/>
      </c>
      <c r="Q5" t="n">
        <v>0</v>
      </c>
      <c r="R5" t="inlineStr">
        <is>
          <t>Lame ébréchée mais redoutable, taillée d'os de gobelin.</t>
        </is>
      </c>
    </row>
    <row r="6">
      <c r="A6" s="5" t="inlineStr">
        <is>
          <t>gobelin_greataxe_plus</t>
        </is>
      </c>
      <c r="B6" s="5" t="inlineStr">
        <is>
          <t>Grande hache gobeline +</t>
        </is>
      </c>
      <c r="C6" s="5" t="inlineStr">
        <is>
          <t>Arme</t>
        </is>
      </c>
      <c r="D6" s="5" t="inlineStr">
        <is>
          <t>main_droite</t>
        </is>
      </c>
      <c r="E6" s="5" t="inlineStr">
        <is>
          <t>gobelin_plus</t>
        </is>
      </c>
      <c r="F6" s="5" t="inlineStr">
        <is>
          <t>epic</t>
        </is>
      </c>
      <c r="G6" s="5" t="inlineStr">
        <is>
          <t>oui</t>
        </is>
      </c>
      <c r="H6" s="5" t="n">
        <v>24</v>
      </c>
      <c r="I6" s="5" t="n">
        <v>0</v>
      </c>
      <c r="J6" s="5" t="n">
        <v>0</v>
      </c>
      <c r="K6" s="5" t="n">
        <v>3</v>
      </c>
      <c r="L6" s="5" t="n">
        <v>0</v>
      </c>
      <c r="M6" s="5" t="n">
        <v>0</v>
      </c>
      <c r="N6" s="5" t="n">
        <v>0</v>
      </c>
      <c r="O6" s="5" t="n">
        <v>0</v>
      </c>
      <c r="P6" s="6">
        <f>ROUND((('⚙️ Calibrage'!$B$2+H6)*(1+(('⚙️ Calibrage'!$B$5+K6)/100)*MAX(0,('⚙️ Calibrage'!$B$6+L6)-100)/100)*(1+('⚙️ Calibrage'!$B$8+N6)/100))*((('⚙️ Calibrage'!$B$4+J6)+('⚙️ Calibrage'!$B$3+I6)*'⚙️ Calibrage'!$B$9)/MAX(0.01,1-('⚙️ Calibrage'!$B$7+M6)/100))/'⚙️ Calibrage'!$B$10-'⚙️ Calibrage'!$B$11,1)</f>
        <v/>
      </c>
      <c r="Q6" s="5" t="n">
        <v>0</v>
      </c>
      <c r="R6" s="5" t="inlineStr">
        <is>
          <t>2 mains — crit massifs, on se découvre complètement. — version infusée (améliorée).</t>
        </is>
      </c>
    </row>
    <row r="7">
      <c r="A7" t="inlineStr">
        <is>
          <t>gobelin_axe_plus</t>
        </is>
      </c>
      <c r="B7" t="inlineStr">
        <is>
          <t>Hache gobeline +</t>
        </is>
      </c>
      <c r="C7" t="inlineStr">
        <is>
          <t>Arme</t>
        </is>
      </c>
      <c r="D7" t="inlineStr">
        <is>
          <t>main_droite</t>
        </is>
      </c>
      <c r="E7" t="inlineStr">
        <is>
          <t>gobelin_plus</t>
        </is>
      </c>
      <c r="F7" t="inlineStr">
        <is>
          <t>rare</t>
        </is>
      </c>
      <c r="G7" t="inlineStr">
        <is>
          <t>non</t>
        </is>
      </c>
      <c r="H7" t="n">
        <v>12</v>
      </c>
      <c r="I7" t="n">
        <v>0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s="6">
        <f>ROUND((('⚙️ Calibrage'!$B$2+H7)*(1+(('⚙️ Calibrage'!$B$5+K7)/100)*MAX(0,('⚙️ Calibrage'!$B$6+L7)-100)/100)*(1+('⚙️ Calibrage'!$B$8+N7)/100))*((('⚙️ Calibrage'!$B$4+J7)+('⚙️ Calibrage'!$B$3+I7)*'⚙️ Calibrage'!$B$9)/MAX(0.01,1-('⚙️ Calibrage'!$B$7+M7)/100))/'⚙️ Calibrage'!$B$10-'⚙️ Calibrage'!$B$11,1)</f>
        <v/>
      </c>
      <c r="Q7" t="n">
        <v>0</v>
      </c>
      <c r="R7" t="inlineStr">
        <is>
          <t>Hache fruste taillée par les gobelins. Une main. — version infusée (améliorée).</t>
        </is>
      </c>
    </row>
    <row r="8">
      <c r="A8" s="5" t="inlineStr">
        <is>
          <t>gobelin_blade_plus</t>
        </is>
      </c>
      <c r="B8" s="5" t="inlineStr">
        <is>
          <t>Lame gobeline +</t>
        </is>
      </c>
      <c r="C8" s="5" t="inlineStr">
        <is>
          <t>Arme</t>
        </is>
      </c>
      <c r="D8" s="5" t="inlineStr">
        <is>
          <t>main_droite</t>
        </is>
      </c>
      <c r="E8" s="5" t="inlineStr">
        <is>
          <t>gobelin_plus</t>
        </is>
      </c>
      <c r="F8" s="5" t="inlineStr">
        <is>
          <t>rare</t>
        </is>
      </c>
      <c r="G8" s="5" t="inlineStr">
        <is>
          <t>non</t>
        </is>
      </c>
      <c r="H8" s="5" t="n">
        <v>12</v>
      </c>
      <c r="I8" s="5" t="n">
        <v>0</v>
      </c>
      <c r="J8" s="5" t="n">
        <v>0</v>
      </c>
      <c r="K8" s="5" t="n">
        <v>3</v>
      </c>
      <c r="L8" s="5" t="n">
        <v>0</v>
      </c>
      <c r="M8" s="5" t="n">
        <v>0</v>
      </c>
      <c r="N8" s="5" t="n">
        <v>0</v>
      </c>
      <c r="O8" s="5" t="n">
        <v>0</v>
      </c>
      <c r="P8" s="6">
        <f>ROUND((('⚙️ Calibrage'!$B$2+H8)*(1+(('⚙️ Calibrage'!$B$5+K8)/100)*MAX(0,('⚙️ Calibrage'!$B$6+L8)-100)/100)*(1+('⚙️ Calibrage'!$B$8+N8)/100))*((('⚙️ Calibrage'!$B$4+J8)+('⚙️ Calibrage'!$B$3+I8)*'⚙️ Calibrage'!$B$9)/MAX(0.01,1-('⚙️ Calibrage'!$B$7+M8)/100))/'⚙️ Calibrage'!$B$10-'⚙️ Calibrage'!$B$11,1)</f>
        <v/>
      </c>
      <c r="Q8" s="5" t="n">
        <v>0</v>
      </c>
      <c r="R8" s="5" t="inlineStr">
        <is>
          <t>Lame ébréchée mais redoutable, taillée d'os de gobelin. — version infusée (améliorée).</t>
        </is>
      </c>
    </row>
    <row r="9">
      <c r="A9" t="inlineStr">
        <is>
          <t>iron_dagger</t>
        </is>
      </c>
      <c r="B9" t="inlineStr">
        <is>
          <t>Dague en fer</t>
        </is>
      </c>
      <c r="C9" t="inlineStr">
        <is>
          <t>Arme</t>
        </is>
      </c>
      <c r="D9" t="inlineStr">
        <is>
          <t>main_droite</t>
        </is>
      </c>
      <c r="E9" t="inlineStr">
        <is>
          <t>iron</t>
        </is>
      </c>
      <c r="F9" t="inlineStr">
        <is>
          <t>common</t>
        </is>
      </c>
      <c r="G9" t="inlineStr">
        <is>
          <t>non</t>
        </is>
      </c>
      <c r="H9" t="n">
        <v>8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s="6">
        <f>ROUND((('⚙️ Calibrage'!$B$2+H9)*(1+(('⚙️ Calibrage'!$B$5+K9)/100)*MAX(0,('⚙️ Calibrage'!$B$6+L9)-100)/100)*(1+('⚙️ Calibrage'!$B$8+N9)/100))*((('⚙️ Calibrage'!$B$4+J9)+('⚙️ Calibrage'!$B$3+I9)*'⚙️ Calibrage'!$B$9)/MAX(0.01,1-('⚙️ Calibrage'!$B$7+M9)/100))/'⚙️ Calibrage'!$B$10-'⚙️ Calibrage'!$B$11,1)</f>
        <v/>
      </c>
      <c r="Q9" t="n">
        <v>0</v>
      </c>
      <c r="R9" t="inlineStr">
        <is>
          <t>Dague affûtée, légère et discrète.</t>
        </is>
      </c>
    </row>
    <row r="10">
      <c r="A10" s="5" t="inlineStr">
        <is>
          <t>iron_greatsword</t>
        </is>
      </c>
      <c r="B10" s="5" t="inlineStr">
        <is>
          <t>Espadon en fer</t>
        </is>
      </c>
      <c r="C10" s="5" t="inlineStr">
        <is>
          <t>Arme</t>
        </is>
      </c>
      <c r="D10" s="5" t="inlineStr">
        <is>
          <t>main_droite</t>
        </is>
      </c>
      <c r="E10" s="5" t="inlineStr">
        <is>
          <t>iron</t>
        </is>
      </c>
      <c r="F10" s="5" t="inlineStr">
        <is>
          <t>rare</t>
        </is>
      </c>
      <c r="G10" s="5" t="inlineStr">
        <is>
          <t>oui</t>
        </is>
      </c>
      <c r="H10" s="5" t="n">
        <v>16</v>
      </c>
      <c r="I10" s="5" t="n">
        <v>2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-2</v>
      </c>
      <c r="O10" s="5" t="n">
        <v>0</v>
      </c>
      <c r="P10" s="6">
        <f>ROUND((('⚙️ Calibrage'!$B$2+H10)*(1+(('⚙️ Calibrage'!$B$5+K10)/100)*MAX(0,('⚙️ Calibrage'!$B$6+L10)-100)/100)*(1+('⚙️ Calibrage'!$B$8+N10)/100))*((('⚙️ Calibrage'!$B$4+J10)+('⚙️ Calibrage'!$B$3+I10)*'⚙️ Calibrage'!$B$9)/MAX(0.01,1-('⚙️ Calibrage'!$B$7+M10)/100))/'⚙️ Calibrage'!$B$10-'⚙️ Calibrage'!$B$11,1)</f>
        <v/>
      </c>
      <c r="Q10" s="5" t="n">
        <v>0</v>
      </c>
      <c r="R10" s="5" t="inlineStr">
        <is>
          <t>Lame à 2 mains — frappe lourde mais on s'expose en attaquant.</t>
        </is>
      </c>
    </row>
    <row r="11">
      <c r="A11" t="inlineStr">
        <is>
          <t>iron_sword</t>
        </is>
      </c>
      <c r="B11" t="inlineStr">
        <is>
          <t>Épée en fer</t>
        </is>
      </c>
      <c r="C11" t="inlineStr">
        <is>
          <t>Arme</t>
        </is>
      </c>
      <c r="D11" t="inlineStr">
        <is>
          <t>main_droite</t>
        </is>
      </c>
      <c r="E11" t="inlineStr">
        <is>
          <t>iron</t>
        </is>
      </c>
      <c r="F11" t="inlineStr">
        <is>
          <t>common</t>
        </is>
      </c>
      <c r="G11" t="inlineStr">
        <is>
          <t>non</t>
        </is>
      </c>
      <c r="H11" t="n">
        <v>8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s="6">
        <f>ROUND((('⚙️ Calibrage'!$B$2+H11)*(1+(('⚙️ Calibrage'!$B$5+K11)/100)*MAX(0,('⚙️ Calibrage'!$B$6+L11)-100)/100)*(1+('⚙️ Calibrage'!$B$8+N11)/100))*((('⚙️ Calibrage'!$B$4+J11)+('⚙️ Calibrage'!$B$3+I11)*'⚙️ Calibrage'!$B$9)/MAX(0.01,1-('⚙️ Calibrage'!$B$7+M11)/100))/'⚙️ Calibrage'!$B$10-'⚙️ Calibrage'!$B$11,1)</f>
        <v/>
      </c>
      <c r="Q11" t="n">
        <v>0</v>
      </c>
      <c r="R11" t="inlineStr">
        <is>
          <t>Variante équilibrée de la dague en fer — atk + un peu de def/PV.</t>
        </is>
      </c>
    </row>
    <row r="12">
      <c r="A12" s="5" t="inlineStr">
        <is>
          <t>leather_dagger</t>
        </is>
      </c>
      <c r="B12" s="5" t="inlineStr">
        <is>
          <t>Dague en cuir</t>
        </is>
      </c>
      <c r="C12" s="5" t="inlineStr">
        <is>
          <t>Arme</t>
        </is>
      </c>
      <c r="D12" s="5" t="inlineStr">
        <is>
          <t>main_droite</t>
        </is>
      </c>
      <c r="E12" s="5" t="inlineStr">
        <is>
          <t>leather</t>
        </is>
      </c>
      <c r="F12" s="5" t="inlineStr">
        <is>
          <t>common</t>
        </is>
      </c>
      <c r="G12" s="5" t="inlineStr">
        <is>
          <t>non</t>
        </is>
      </c>
      <c r="H12" s="5" t="n">
        <v>8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1</v>
      </c>
      <c r="N12" s="5" t="n">
        <v>0</v>
      </c>
      <c r="O12" s="5" t="n">
        <v>0</v>
      </c>
      <c r="P12" s="6">
        <f>ROUND((('⚙️ Calibrage'!$B$2+H12)*(1+(('⚙️ Calibrage'!$B$5+K12)/100)*MAX(0,('⚙️ Calibrage'!$B$6+L12)-100)/100)*(1+('⚙️ Calibrage'!$B$8+N12)/100))*((('⚙️ Calibrage'!$B$4+J12)+('⚙️ Calibrage'!$B$3+I12)*'⚙️ Calibrage'!$B$9)/MAX(0.01,1-('⚙️ Calibrage'!$B$7+M12)/100))/'⚙️ Calibrage'!$B$10-'⚙️ Calibrage'!$B$11,1)</f>
        <v/>
      </c>
      <c r="Q12" s="5" t="n">
        <v>0</v>
      </c>
      <c r="R12" s="5" t="inlineStr">
        <is>
          <t>Variante offensive de la lame en cuir — un peu d'attaque en plus.</t>
        </is>
      </c>
    </row>
    <row r="13">
      <c r="A13" t="inlineStr">
        <is>
          <t>leather_greatsword</t>
        </is>
      </c>
      <c r="B13" t="inlineStr">
        <is>
          <t>Grande lame en cuir</t>
        </is>
      </c>
      <c r="C13" t="inlineStr">
        <is>
          <t>Arme</t>
        </is>
      </c>
      <c r="D13" t="inlineStr">
        <is>
          <t>main_droite</t>
        </is>
      </c>
      <c r="E13" t="inlineStr">
        <is>
          <t>leather</t>
        </is>
      </c>
      <c r="F13" t="inlineStr">
        <is>
          <t>rare</t>
        </is>
      </c>
      <c r="G13" t="inlineStr">
        <is>
          <t>oui</t>
        </is>
      </c>
      <c r="H13" t="n">
        <v>16</v>
      </c>
      <c r="I13" t="n">
        <v>-2</v>
      </c>
      <c r="J13" t="n">
        <v>0</v>
      </c>
      <c r="K13" t="n">
        <v>0</v>
      </c>
      <c r="L13" t="n">
        <v>0</v>
      </c>
      <c r="M13" t="n">
        <v>2</v>
      </c>
      <c r="N13" t="n">
        <v>0</v>
      </c>
      <c r="O13" t="n">
        <v>0</v>
      </c>
      <c r="P13" s="6">
        <f>ROUND((('⚙️ Calibrage'!$B$2+H13)*(1+(('⚙️ Calibrage'!$B$5+K13)/100)*MAX(0,('⚙️ Calibrage'!$B$6+L13)-100)/100)*(1+('⚙️ Calibrage'!$B$8+N13)/100))*((('⚙️ Calibrage'!$B$4+J13)+('⚙️ Calibrage'!$B$3+I13)*'⚙️ Calibrage'!$B$9)/MAX(0.01,1-('⚙️ Calibrage'!$B$7+M13)/100))/'⚙️ Calibrage'!$B$10-'⚙️ Calibrage'!$B$11,1)</f>
        <v/>
      </c>
      <c r="Q13" t="n">
        <v>0</v>
      </c>
      <c r="R13" t="inlineStr">
        <is>
          <t>2 mains — atk solide pour la panoplie cuir, on perd en couverture.</t>
        </is>
      </c>
    </row>
    <row r="14">
      <c r="A14" s="5" t="inlineStr">
        <is>
          <t>leather_main_droite</t>
        </is>
      </c>
      <c r="B14" s="5" t="inlineStr">
        <is>
          <t>Lame en cuir</t>
        </is>
      </c>
      <c r="C14" s="5" t="inlineStr">
        <is>
          <t>Arme</t>
        </is>
      </c>
      <c r="D14" s="5" t="inlineStr">
        <is>
          <t>main_droite</t>
        </is>
      </c>
      <c r="E14" s="5" t="inlineStr">
        <is>
          <t>leather</t>
        </is>
      </c>
      <c r="F14" s="5" t="inlineStr">
        <is>
          <t>common</t>
        </is>
      </c>
      <c r="G14" s="5" t="inlineStr">
        <is>
          <t>non</t>
        </is>
      </c>
      <c r="H14" s="5" t="n">
        <v>8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1</v>
      </c>
      <c r="N14" s="5" t="n">
        <v>0</v>
      </c>
      <c r="O14" s="5" t="n">
        <v>0</v>
      </c>
      <c r="P14" s="6">
        <f>ROUND((('⚙️ Calibrage'!$B$2+H14)*(1+(('⚙️ Calibrage'!$B$5+K14)/100)*MAX(0,('⚙️ Calibrage'!$B$6+L14)-100)/100)*(1+('⚙️ Calibrage'!$B$8+N14)/100))*((('⚙️ Calibrage'!$B$4+J14)+('⚙️ Calibrage'!$B$3+I14)*'⚙️ Calibrage'!$B$9)/MAX(0.01,1-('⚙️ Calibrage'!$B$7+M14)/100))/'⚙️ Calibrage'!$B$10-'⚙️ Calibrage'!$B$11,1)</f>
        <v/>
      </c>
      <c r="Q14" s="5" t="n">
        <v>12</v>
      </c>
      <c r="R14" s="5" t="inlineStr">
        <is>
          <t>Pièce de la panoplie leather — bonus de set actif dès 2 pièces.</t>
        </is>
      </c>
    </row>
    <row r="15">
      <c r="A15" t="inlineStr">
        <is>
          <t>linen_greatblade</t>
        </is>
      </c>
      <c r="B15" t="inlineStr">
        <is>
          <t>Grande lame en lin</t>
        </is>
      </c>
      <c r="C15" t="inlineStr">
        <is>
          <t>Arme</t>
        </is>
      </c>
      <c r="D15" t="inlineStr">
        <is>
          <t>main_droite</t>
        </is>
      </c>
      <c r="E15" t="inlineStr">
        <is>
          <t>linen</t>
        </is>
      </c>
      <c r="F15" t="inlineStr">
        <is>
          <t>rare</t>
        </is>
      </c>
      <c r="G15" t="inlineStr">
        <is>
          <t>oui</t>
        </is>
      </c>
      <c r="H15" t="n">
        <v>16</v>
      </c>
      <c r="I15" t="n">
        <v>-3</v>
      </c>
      <c r="J15" t="n">
        <v>0</v>
      </c>
      <c r="K15" t="n">
        <v>0</v>
      </c>
      <c r="L15" t="n">
        <v>8</v>
      </c>
      <c r="M15" t="n">
        <v>0</v>
      </c>
      <c r="N15" t="n">
        <v>0</v>
      </c>
      <c r="O15" t="n">
        <v>0</v>
      </c>
      <c r="P15" s="6">
        <f>ROUND((('⚙️ Calibrage'!$B$2+H15)*(1+(('⚙️ Calibrage'!$B$5+K15)/100)*MAX(0,('⚙️ Calibrage'!$B$6+L15)-100)/100)*(1+('⚙️ Calibrage'!$B$8+N15)/100))*((('⚙️ Calibrage'!$B$4+J15)+('⚙️ Calibrage'!$B$3+I15)*'⚙️ Calibrage'!$B$9)/MAX(0.01,1-('⚙️ Calibrage'!$B$7+M15)/100))/'⚙️ Calibrage'!$B$10-'⚙️ Calibrage'!$B$11,1)</f>
        <v/>
      </c>
      <c r="Q15" t="n">
        <v>0</v>
      </c>
      <c r="R15" t="inlineStr">
        <is>
          <t>2 mains — crit dmg massif mais peu de couverture.</t>
        </is>
      </c>
    </row>
    <row r="16">
      <c r="A16" s="5" t="inlineStr">
        <is>
          <t>linen_main_droite</t>
        </is>
      </c>
      <c r="B16" s="5" t="inlineStr">
        <is>
          <t>Lame en lin</t>
        </is>
      </c>
      <c r="C16" s="5" t="inlineStr">
        <is>
          <t>Arme</t>
        </is>
      </c>
      <c r="D16" s="5" t="inlineStr">
        <is>
          <t>main_droite</t>
        </is>
      </c>
      <c r="E16" s="5" t="inlineStr">
        <is>
          <t>linen</t>
        </is>
      </c>
      <c r="F16" s="5" t="inlineStr">
        <is>
          <t>common</t>
        </is>
      </c>
      <c r="G16" s="5" t="inlineStr">
        <is>
          <t>non</t>
        </is>
      </c>
      <c r="H16" s="5" t="n">
        <v>8</v>
      </c>
      <c r="I16" s="5" t="n">
        <v>0</v>
      </c>
      <c r="J16" s="5" t="n">
        <v>0</v>
      </c>
      <c r="K16" s="5" t="n">
        <v>0</v>
      </c>
      <c r="L16" s="5" t="n">
        <v>4</v>
      </c>
      <c r="M16" s="5" t="n">
        <v>0</v>
      </c>
      <c r="N16" s="5" t="n">
        <v>0</v>
      </c>
      <c r="O16" s="5" t="n">
        <v>0</v>
      </c>
      <c r="P16" s="6">
        <f>ROUND((('⚙️ Calibrage'!$B$2+H16)*(1+(('⚙️ Calibrage'!$B$5+K16)/100)*MAX(0,('⚙️ Calibrage'!$B$6+L16)-100)/100)*(1+('⚙️ Calibrage'!$B$8+N16)/100))*((('⚙️ Calibrage'!$B$4+J16)+('⚙️ Calibrage'!$B$3+I16)*'⚙️ Calibrage'!$B$9)/MAX(0.01,1-('⚙️ Calibrage'!$B$7+M16)/100))/'⚙️ Calibrage'!$B$10-'⚙️ Calibrage'!$B$11,1)</f>
        <v/>
      </c>
      <c r="Q16" s="5" t="n">
        <v>12</v>
      </c>
      <c r="R16" s="5" t="inlineStr">
        <is>
          <t>Pièce de la panoplie linen — bonus de set actif dès 2 pièces.</t>
        </is>
      </c>
    </row>
    <row r="17">
      <c r="A17" t="inlineStr">
        <is>
          <t>linen_rapier</t>
        </is>
      </c>
      <c r="B17" t="inlineStr">
        <is>
          <t>Rapière en lin</t>
        </is>
      </c>
      <c r="C17" t="inlineStr">
        <is>
          <t>Arme</t>
        </is>
      </c>
      <c r="D17" t="inlineStr">
        <is>
          <t>main_droite</t>
        </is>
      </c>
      <c r="E17" t="inlineStr">
        <is>
          <t>linen</t>
        </is>
      </c>
      <c r="F17" t="inlineStr">
        <is>
          <t>common</t>
        </is>
      </c>
      <c r="G17" t="inlineStr">
        <is>
          <t>non</t>
        </is>
      </c>
      <c r="H17" t="n">
        <v>8</v>
      </c>
      <c r="I17" t="n">
        <v>0</v>
      </c>
      <c r="J17" t="n">
        <v>0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s="6">
        <f>ROUND((('⚙️ Calibrage'!$B$2+H17)*(1+(('⚙️ Calibrage'!$B$5+K17)/100)*MAX(0,('⚙️ Calibrage'!$B$6+L17)-100)/100)*(1+('⚙️ Calibrage'!$B$8+N17)/100))*((('⚙️ Calibrage'!$B$4+J17)+('⚙️ Calibrage'!$B$3+I17)*'⚙️ Calibrage'!$B$9)/MAX(0.01,1-('⚙️ Calibrage'!$B$7+M17)/100))/'⚙️ Calibrage'!$B$10-'⚙️ Calibrage'!$B$11,1)</f>
        <v/>
      </c>
      <c r="Q17" t="n">
        <v>0</v>
      </c>
      <c r="R17" t="inlineStr">
        <is>
          <t>Variante speed/crit de la lame en lin — précise mais fragile.</t>
        </is>
      </c>
    </row>
    <row r="18">
      <c r="A18" s="5" t="inlineStr">
        <is>
          <t>slime_blade</t>
        </is>
      </c>
      <c r="B18" s="5" t="inlineStr">
        <is>
          <t>Lame visqueuse</t>
        </is>
      </c>
      <c r="C18" s="5" t="inlineStr">
        <is>
          <t>Arme</t>
        </is>
      </c>
      <c r="D18" s="5" t="inlineStr">
        <is>
          <t>main_droite</t>
        </is>
      </c>
      <c r="E18" s="5" t="inlineStr">
        <is>
          <t>slime</t>
        </is>
      </c>
      <c r="F18" s="5" t="inlineStr">
        <is>
          <t>uncommon</t>
        </is>
      </c>
      <c r="G18" s="5" t="inlineStr">
        <is>
          <t>non</t>
        </is>
      </c>
      <c r="H18" s="5" t="n">
        <v>8</v>
      </c>
      <c r="I18" s="5" t="n">
        <v>0</v>
      </c>
      <c r="J18" s="5" t="n">
        <v>4</v>
      </c>
      <c r="K18" s="5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6">
        <f>ROUND((('⚙️ Calibrage'!$B$2+H18)*(1+(('⚙️ Calibrage'!$B$5+K18)/100)*MAX(0,('⚙️ Calibrage'!$B$6+L18)-100)/100)*(1+('⚙️ Calibrage'!$B$8+N18)/100))*((('⚙️ Calibrage'!$B$4+J18)+('⚙️ Calibrage'!$B$3+I18)*'⚙️ Calibrage'!$B$9)/MAX(0.01,1-('⚙️ Calibrage'!$B$7+M18)/100))/'⚙️ Calibrage'!$B$10-'⚙️ Calibrage'!$B$11,1)</f>
        <v/>
      </c>
      <c r="Q18" s="5" t="n">
        <v>0</v>
      </c>
      <c r="R18" s="5" t="inlineStr">
        <is>
          <t>Une épée recouverte d'une étrange matière gélatineuse. Une main.</t>
        </is>
      </c>
    </row>
    <row r="19">
      <c r="A19" t="inlineStr">
        <is>
          <t>slime_greatblade</t>
        </is>
      </c>
      <c r="B19" t="inlineStr">
        <is>
          <t>Lame visqueuse colossale</t>
        </is>
      </c>
      <c r="C19" t="inlineStr">
        <is>
          <t>Arme</t>
        </is>
      </c>
      <c r="D19" t="inlineStr">
        <is>
          <t>main_droite</t>
        </is>
      </c>
      <c r="E19" t="inlineStr">
        <is>
          <t>slime</t>
        </is>
      </c>
      <c r="F19" t="inlineStr">
        <is>
          <t>rare</t>
        </is>
      </c>
      <c r="G19" t="inlineStr">
        <is>
          <t>oui</t>
        </is>
      </c>
      <c r="H19" t="n">
        <v>16</v>
      </c>
      <c r="I19" t="n">
        <v>-3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s="6">
        <f>ROUND((('⚙️ Calibrage'!$B$2+H19)*(1+(('⚙️ Calibrage'!$B$5+K19)/100)*MAX(0,('⚙️ Calibrage'!$B$6+L19)-100)/100)*(1+('⚙️ Calibrage'!$B$8+N19)/100))*((('⚙️ Calibrage'!$B$4+J19)+('⚙️ Calibrage'!$B$3+I19)*'⚙️ Calibrage'!$B$9)/MAX(0.01,1-('⚙️ Calibrage'!$B$7+M19)/100))/'⚙️ Calibrage'!$B$10-'⚙️ Calibrage'!$B$11,1)</f>
        <v/>
      </c>
      <c r="Q19" t="n">
        <v>0</v>
      </c>
      <c r="R19" t="inlineStr">
        <is>
          <t>2 mains — frappe massive, on perd en résilience.</t>
        </is>
      </c>
    </row>
    <row r="20">
      <c r="A20" s="5" t="inlineStr">
        <is>
          <t>slime_morningstar</t>
        </is>
      </c>
      <c r="B20" s="5" t="inlineStr">
        <is>
          <t>Morningstar visqueuse</t>
        </is>
      </c>
      <c r="C20" s="5" t="inlineStr">
        <is>
          <t>Arme</t>
        </is>
      </c>
      <c r="D20" s="5" t="inlineStr">
        <is>
          <t>main_droite</t>
        </is>
      </c>
      <c r="E20" s="5" t="inlineStr">
        <is>
          <t>slime</t>
        </is>
      </c>
      <c r="F20" s="5" t="inlineStr">
        <is>
          <t>common</t>
        </is>
      </c>
      <c r="G20" s="5" t="inlineStr">
        <is>
          <t>non</t>
        </is>
      </c>
      <c r="H20" s="5" t="n">
        <v>8</v>
      </c>
      <c r="I20" s="5" t="n">
        <v>0</v>
      </c>
      <c r="J20" s="5" t="n">
        <v>4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6">
        <f>ROUND((('⚙️ Calibrage'!$B$2+H20)*(1+(('⚙️ Calibrage'!$B$5+K20)/100)*MAX(0,('⚙️ Calibrage'!$B$6+L20)-100)/100)*(1+('⚙️ Calibrage'!$B$8+N20)/100))*((('⚙️ Calibrage'!$B$4+J20)+('⚙️ Calibrage'!$B$3+I20)*'⚙️ Calibrage'!$B$9)/MAX(0.01,1-('⚙️ Calibrage'!$B$7+M20)/100))/'⚙️ Calibrage'!$B$10-'⚙️ Calibrage'!$B$11,1)</f>
        <v/>
      </c>
      <c r="Q20" s="5" t="n">
        <v>0</v>
      </c>
      <c r="R20" s="5" t="inlineStr">
        <is>
          <t>Variante régen de la lame visqueuse — atk soutenue + un peu de régen.</t>
        </is>
      </c>
    </row>
    <row r="21">
      <c r="A21" t="inlineStr">
        <is>
          <t>slime_blade_plus</t>
        </is>
      </c>
      <c r="B21" t="inlineStr">
        <is>
          <t>Lame visqueuse +</t>
        </is>
      </c>
      <c r="C21" t="inlineStr">
        <is>
          <t>Arme</t>
        </is>
      </c>
      <c r="D21" t="inlineStr">
        <is>
          <t>main_droite</t>
        </is>
      </c>
      <c r="E21" t="inlineStr">
        <is>
          <t>slime_plus</t>
        </is>
      </c>
      <c r="F21" t="inlineStr">
        <is>
          <t>rare</t>
        </is>
      </c>
      <c r="G21" t="inlineStr">
        <is>
          <t>non</t>
        </is>
      </c>
      <c r="H21" t="n">
        <v>12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s="6">
        <f>ROUND((('⚙️ Calibrage'!$B$2+H21)*(1+(('⚙️ Calibrage'!$B$5+K21)/100)*MAX(0,('⚙️ Calibrage'!$B$6+L21)-100)/100)*(1+('⚙️ Calibrage'!$B$8+N21)/100))*((('⚙️ Calibrage'!$B$4+J21)+('⚙️ Calibrage'!$B$3+I21)*'⚙️ Calibrage'!$B$9)/MAX(0.01,1-('⚙️ Calibrage'!$B$7+M21)/100))/'⚙️ Calibrage'!$B$10-'⚙️ Calibrage'!$B$11,1)</f>
        <v/>
      </c>
      <c r="Q21" t="n">
        <v>0</v>
      </c>
      <c r="R21" t="inlineStr">
        <is>
          <t>Une épée recouverte d'une étrange matière gélatineuse. Une main. — version infusée (améliorée).</t>
        </is>
      </c>
    </row>
    <row r="22">
      <c r="A22" s="5" t="inlineStr">
        <is>
          <t>slime_greatblade_plus</t>
        </is>
      </c>
      <c r="B22" s="5" t="inlineStr">
        <is>
          <t>Lame visqueuse colossale +</t>
        </is>
      </c>
      <c r="C22" s="5" t="inlineStr">
        <is>
          <t>Arme</t>
        </is>
      </c>
      <c r="D22" s="5" t="inlineStr">
        <is>
          <t>main_droite</t>
        </is>
      </c>
      <c r="E22" s="5" t="inlineStr">
        <is>
          <t>slime_plus</t>
        </is>
      </c>
      <c r="F22" s="5" t="inlineStr">
        <is>
          <t>epic</t>
        </is>
      </c>
      <c r="G22" s="5" t="inlineStr">
        <is>
          <t>oui</t>
        </is>
      </c>
      <c r="H22" s="5" t="n">
        <v>24</v>
      </c>
      <c r="I22" s="5" t="n">
        <v>-3</v>
      </c>
      <c r="J22" s="5" t="n">
        <v>12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6">
        <f>ROUND((('⚙️ Calibrage'!$B$2+H22)*(1+(('⚙️ Calibrage'!$B$5+K22)/100)*MAX(0,('⚙️ Calibrage'!$B$6+L22)-100)/100)*(1+('⚙️ Calibrage'!$B$8+N22)/100))*((('⚙️ Calibrage'!$B$4+J22)+('⚙️ Calibrage'!$B$3+I22)*'⚙️ Calibrage'!$B$9)/MAX(0.01,1-('⚙️ Calibrage'!$B$7+M22)/100))/'⚙️ Calibrage'!$B$10-'⚙️ Calibrage'!$B$11,1)</f>
        <v/>
      </c>
      <c r="Q22" s="5" t="n">
        <v>0</v>
      </c>
      <c r="R22" s="5" t="inlineStr">
        <is>
          <t>2 mains — frappe massive, on perd en résilience. — version infusée (améliorée).</t>
        </is>
      </c>
    </row>
    <row r="23">
      <c r="A23" t="inlineStr">
        <is>
          <t>slime_morningstar_plus</t>
        </is>
      </c>
      <c r="B23" t="inlineStr">
        <is>
          <t>Morningstar visqueuse +</t>
        </is>
      </c>
      <c r="C23" t="inlineStr">
        <is>
          <t>Arme</t>
        </is>
      </c>
      <c r="D23" t="inlineStr">
        <is>
          <t>main_droite</t>
        </is>
      </c>
      <c r="E23" t="inlineStr">
        <is>
          <t>slime_plus</t>
        </is>
      </c>
      <c r="F23" t="inlineStr">
        <is>
          <t>uncommon</t>
        </is>
      </c>
      <c r="G23" t="inlineStr">
        <is>
          <t>non</t>
        </is>
      </c>
      <c r="H23" t="n">
        <v>12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s="6">
        <f>ROUND((('⚙️ Calibrage'!$B$2+H23)*(1+(('⚙️ Calibrage'!$B$5+K23)/100)*MAX(0,('⚙️ Calibrage'!$B$6+L23)-100)/100)*(1+('⚙️ Calibrage'!$B$8+N23)/100))*((('⚙️ Calibrage'!$B$4+J23)+('⚙️ Calibrage'!$B$3+I23)*'⚙️ Calibrage'!$B$9)/MAX(0.01,1-('⚙️ Calibrage'!$B$7+M23)/100))/'⚙️ Calibrage'!$B$10-'⚙️ Calibrage'!$B$11,1)</f>
        <v/>
      </c>
      <c r="Q23" t="n">
        <v>0</v>
      </c>
      <c r="R23" t="inlineStr">
        <is>
          <t>Variante régen de la lame visqueuse — atk soutenue + un peu de régen. — version infusée (améliorée).</t>
        </is>
      </c>
    </row>
    <row r="24">
      <c r="A24" s="5" t="inlineStr">
        <is>
          <t>hunter_dagger</t>
        </is>
      </c>
      <c r="B24" s="5" t="inlineStr">
        <is>
          <t>Dague du chasseur</t>
        </is>
      </c>
      <c r="C24" s="5" t="inlineStr">
        <is>
          <t>Arme</t>
        </is>
      </c>
      <c r="D24" s="5" t="inlineStr">
        <is>
          <t>main_droite</t>
        </is>
      </c>
      <c r="E24" s="5" t="inlineStr"/>
      <c r="F24" s="5" t="inlineStr">
        <is>
          <t>uncommon</t>
        </is>
      </c>
      <c r="G24" s="5" t="inlineStr">
        <is>
          <t>non</t>
        </is>
      </c>
      <c r="H24" s="5" t="n">
        <v>4</v>
      </c>
      <c r="I24" s="5" t="n">
        <v>0</v>
      </c>
      <c r="J24" s="5" t="n">
        <v>0</v>
      </c>
      <c r="K24" s="5" t="n">
        <v>5</v>
      </c>
      <c r="L24" s="5" t="n">
        <v>0</v>
      </c>
      <c r="M24" s="5" t="n">
        <v>0</v>
      </c>
      <c r="N24" s="5" t="n">
        <v>0</v>
      </c>
      <c r="O24" s="5" t="n">
        <v>0</v>
      </c>
      <c r="P24" s="6">
        <f>ROUND((('⚙️ Calibrage'!$B$2+H24)*(1+(('⚙️ Calibrage'!$B$5+K24)/100)*MAX(0,('⚙️ Calibrage'!$B$6+L24)-100)/100)*(1+('⚙️ Calibrage'!$B$8+N24)/100))*((('⚙️ Calibrage'!$B$4+J24)+('⚙️ Calibrage'!$B$3+I24)*'⚙️ Calibrage'!$B$9)/MAX(0.01,1-('⚙️ Calibrage'!$B$7+M24)/100))/'⚙️ Calibrage'!$B$10-'⚙️ Calibrage'!$B$11,1)</f>
        <v/>
      </c>
      <c r="Q24" s="5" t="n">
        <v>0</v>
      </c>
      <c r="R24" s="5" t="inlineStr">
        <is>
          <t>Une dague légère favorisant les coups précis. Une main.</t>
        </is>
      </c>
    </row>
    <row r="25">
      <c r="A25" t="inlineStr">
        <is>
          <t>wood_sword</t>
        </is>
      </c>
      <c r="B25" t="inlineStr">
        <is>
          <t>Épée en bois</t>
        </is>
      </c>
      <c r="C25" t="inlineStr">
        <is>
          <t>Arme</t>
        </is>
      </c>
      <c r="D25" t="inlineStr">
        <is>
          <t>main_droite</t>
        </is>
      </c>
      <c r="E25" t="inlineStr"/>
      <c r="F25" t="inlineStr">
        <is>
          <t>common</t>
        </is>
      </c>
      <c r="G25" t="inlineStr">
        <is>
          <t>non</t>
        </is>
      </c>
      <c r="H25" t="n">
        <v>4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s="6">
        <f>ROUND((('⚙️ Calibrage'!$B$2+H25)*(1+(('⚙️ Calibrage'!$B$5+K25)/100)*MAX(0,('⚙️ Calibrage'!$B$6+L25)-100)/100)*(1+('⚙️ Calibrage'!$B$8+N25)/100))*((('⚙️ Calibrage'!$B$4+J25)+('⚙️ Calibrage'!$B$3+I25)*'⚙️ Calibrage'!$B$9)/MAX(0.01,1-('⚙️ Calibrage'!$B$7+M25)/100))/'⚙️ Calibrage'!$B$10-'⚙️ Calibrage'!$B$11,1)</f>
        <v/>
      </c>
      <c r="Q25" t="n">
        <v>0</v>
      </c>
      <c r="R25" t="inlineStr">
        <is>
          <t>Une arme basique pour débuter. Une main.</t>
        </is>
      </c>
    </row>
    <row r="26">
      <c r="A26" s="5" t="inlineStr">
        <is>
          <t>gobelin_main_gauche</t>
        </is>
      </c>
      <c r="B26" s="5" t="inlineStr">
        <is>
          <t>Bouclier gobelin</t>
        </is>
      </c>
      <c r="C26" s="5" t="inlineStr">
        <is>
          <t>Bouclier</t>
        </is>
      </c>
      <c r="D26" s="5" t="inlineStr">
        <is>
          <t>main_droite</t>
        </is>
      </c>
      <c r="E26" s="5" t="inlineStr">
        <is>
          <t>gobelin</t>
        </is>
      </c>
      <c r="F26" s="5" t="inlineStr">
        <is>
          <t>uncommon</t>
        </is>
      </c>
      <c r="G26" s="5" t="inlineStr">
        <is>
          <t>non</t>
        </is>
      </c>
      <c r="H26" s="5" t="n">
        <v>0</v>
      </c>
      <c r="I26" s="5" t="n">
        <v>7</v>
      </c>
      <c r="J26" s="5" t="n">
        <v>0</v>
      </c>
      <c r="K26" s="5" t="n">
        <v>1</v>
      </c>
      <c r="L26" s="5" t="n">
        <v>0</v>
      </c>
      <c r="M26" s="5" t="n">
        <v>0</v>
      </c>
      <c r="N26" s="5" t="n">
        <v>0</v>
      </c>
      <c r="O26" s="5" t="n">
        <v>0</v>
      </c>
      <c r="P26" s="6">
        <f>ROUND((('⚙️ Calibrage'!$B$2+H26)*(1+(('⚙️ Calibrage'!$B$5+K26)/100)*MAX(0,('⚙️ Calibrage'!$B$6+L26)-100)/100)*(1+('⚙️ Calibrage'!$B$8+N26)/100))*((('⚙️ Calibrage'!$B$4+J26)+('⚙️ Calibrage'!$B$3+I26)*'⚙️ Calibrage'!$B$9)/MAX(0.01,1-('⚙️ Calibrage'!$B$7+M26)/100))/'⚙️ Calibrage'!$B$10-'⚙️ Calibrage'!$B$11,1)</f>
        <v/>
      </c>
      <c r="Q26" s="5" t="n">
        <v>21</v>
      </c>
      <c r="R26" s="5" t="inlineStr">
        <is>
          <t>Pièce de la panoplie gobelin — bonus de set actif dès 2 pièces.</t>
        </is>
      </c>
    </row>
    <row r="27">
      <c r="A27" t="inlineStr">
        <is>
          <t>gobelin_warshield</t>
        </is>
      </c>
      <c r="B27" t="inlineStr">
        <is>
          <t>Pavois gobelin</t>
        </is>
      </c>
      <c r="C27" t="inlineStr">
        <is>
          <t>Bouclier</t>
        </is>
      </c>
      <c r="D27" t="inlineStr">
        <is>
          <t>main_droite</t>
        </is>
      </c>
      <c r="E27" t="inlineStr">
        <is>
          <t>gobelin</t>
        </is>
      </c>
      <c r="F27" t="inlineStr">
        <is>
          <t>rare</t>
        </is>
      </c>
      <c r="G27" t="inlineStr">
        <is>
          <t>oui</t>
        </is>
      </c>
      <c r="H27" t="n">
        <v>-4</v>
      </c>
      <c r="I27" t="n">
        <v>14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s="6">
        <f>ROUND((('⚙️ Calibrage'!$B$2+H27)*(1+(('⚙️ Calibrage'!$B$5+K27)/100)*MAX(0,('⚙️ Calibrage'!$B$6+L27)-100)/100)*(1+('⚙️ Calibrage'!$B$8+N27)/100))*((('⚙️ Calibrage'!$B$4+J27)+('⚙️ Calibrage'!$B$3+I27)*'⚙️ Calibrage'!$B$9)/MAX(0.01,1-('⚙️ Calibrage'!$B$7+M27)/100))/'⚙️ Calibrage'!$B$10-'⚙️ Calibrage'!$B$11,1)</f>
        <v/>
      </c>
      <c r="Q27" t="n">
        <v>0</v>
      </c>
      <c r="R27" t="inlineStr">
        <is>
          <t>Bouclier gobelin 2 mains — défense brute + crit, on tape moins fort.</t>
        </is>
      </c>
    </row>
    <row r="28">
      <c r="A28" s="5" t="inlineStr">
        <is>
          <t>gobelin_buckler</t>
        </is>
      </c>
      <c r="B28" s="5" t="inlineStr">
        <is>
          <t>Rondache gobeline</t>
        </is>
      </c>
      <c r="C28" s="5" t="inlineStr">
        <is>
          <t>Bouclier</t>
        </is>
      </c>
      <c r="D28" s="5" t="inlineStr">
        <is>
          <t>main_droite</t>
        </is>
      </c>
      <c r="E28" s="5" t="inlineStr">
        <is>
          <t>gobelin</t>
        </is>
      </c>
      <c r="F28" s="5" t="inlineStr">
        <is>
          <t>common</t>
        </is>
      </c>
      <c r="G28" s="5" t="inlineStr">
        <is>
          <t>non</t>
        </is>
      </c>
      <c r="H28" s="5" t="n">
        <v>0</v>
      </c>
      <c r="I28" s="5" t="n">
        <v>7</v>
      </c>
      <c r="J28" s="5" t="n">
        <v>0</v>
      </c>
      <c r="K28" s="5" t="n">
        <v>1</v>
      </c>
      <c r="L28" s="5" t="n">
        <v>0</v>
      </c>
      <c r="M28" s="5" t="n">
        <v>0</v>
      </c>
      <c r="N28" s="5" t="n">
        <v>0</v>
      </c>
      <c r="O28" s="5" t="n">
        <v>0</v>
      </c>
      <c r="P28" s="6">
        <f>ROUND((('⚙️ Calibrage'!$B$2+H28)*(1+(('⚙️ Calibrage'!$B$5+K28)/100)*MAX(0,('⚙️ Calibrage'!$B$6+L28)-100)/100)*(1+('⚙️ Calibrage'!$B$8+N28)/100))*((('⚙️ Calibrage'!$B$4+J28)+('⚙️ Calibrage'!$B$3+I28)*'⚙️ Calibrage'!$B$9)/MAX(0.01,1-('⚙️ Calibrage'!$B$7+M28)/100))/'⚙️ Calibrage'!$B$10-'⚙️ Calibrage'!$B$11,1)</f>
        <v/>
      </c>
      <c r="Q28" s="5" t="n">
        <v>0</v>
      </c>
      <c r="R28" s="5" t="inlineStr">
        <is>
          <t>Variante du bouclier gobelin — orientée crit + défense.</t>
        </is>
      </c>
    </row>
    <row r="29">
      <c r="A29" t="inlineStr">
        <is>
          <t>gobelin_main_gauche_plus</t>
        </is>
      </c>
      <c r="B29" t="inlineStr">
        <is>
          <t>Bouclier gobelin +</t>
        </is>
      </c>
      <c r="C29" t="inlineStr">
        <is>
          <t>Bouclier</t>
        </is>
      </c>
      <c r="D29" t="inlineStr">
        <is>
          <t>main_droite</t>
        </is>
      </c>
      <c r="E29" t="inlineStr">
        <is>
          <t>gobelin_plus</t>
        </is>
      </c>
      <c r="F29" t="inlineStr">
        <is>
          <t>rare</t>
        </is>
      </c>
      <c r="G29" t="inlineStr">
        <is>
          <t>non</t>
        </is>
      </c>
      <c r="H29" t="n">
        <v>0</v>
      </c>
      <c r="I29" t="n">
        <v>11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s="6">
        <f>ROUND((('⚙️ Calibrage'!$B$2+H29)*(1+(('⚙️ Calibrage'!$B$5+K29)/100)*MAX(0,('⚙️ Calibrage'!$B$6+L29)-100)/100)*(1+('⚙️ Calibrage'!$B$8+N29)/100))*((('⚙️ Calibrage'!$B$4+J29)+('⚙️ Calibrage'!$B$3+I29)*'⚙️ Calibrage'!$B$9)/MAX(0.01,1-('⚙️ Calibrage'!$B$7+M29)/100))/'⚙️ Calibrage'!$B$10-'⚙️ Calibrage'!$B$11,1)</f>
        <v/>
      </c>
      <c r="Q29" t="n">
        <v>21</v>
      </c>
      <c r="R29" t="inlineStr">
        <is>
          <t>Pièce de la panoplie gobelin — bonus de set actif dès 2 pièces. — version infusée (améliorée).</t>
        </is>
      </c>
    </row>
    <row r="30">
      <c r="A30" s="5" t="inlineStr">
        <is>
          <t>gobelin_warshield_plus</t>
        </is>
      </c>
      <c r="B30" s="5" t="inlineStr">
        <is>
          <t>Pavois gobelin +</t>
        </is>
      </c>
      <c r="C30" s="5" t="inlineStr">
        <is>
          <t>Bouclier</t>
        </is>
      </c>
      <c r="D30" s="5" t="inlineStr">
        <is>
          <t>main_droite</t>
        </is>
      </c>
      <c r="E30" s="5" t="inlineStr">
        <is>
          <t>gobelin_plus</t>
        </is>
      </c>
      <c r="F30" s="5" t="inlineStr">
        <is>
          <t>epic</t>
        </is>
      </c>
      <c r="G30" s="5" t="inlineStr">
        <is>
          <t>oui</t>
        </is>
      </c>
      <c r="H30" s="5" t="n">
        <v>-4</v>
      </c>
      <c r="I30" s="5" t="n">
        <v>21</v>
      </c>
      <c r="J30" s="5" t="n">
        <v>0</v>
      </c>
      <c r="K30" s="5" t="n">
        <v>3</v>
      </c>
      <c r="L30" s="5" t="n">
        <v>0</v>
      </c>
      <c r="M30" s="5" t="n">
        <v>0</v>
      </c>
      <c r="N30" s="5" t="n">
        <v>0</v>
      </c>
      <c r="O30" s="5" t="n">
        <v>0</v>
      </c>
      <c r="P30" s="6">
        <f>ROUND((('⚙️ Calibrage'!$B$2+H30)*(1+(('⚙️ Calibrage'!$B$5+K30)/100)*MAX(0,('⚙️ Calibrage'!$B$6+L30)-100)/100)*(1+('⚙️ Calibrage'!$B$8+N30)/100))*((('⚙️ Calibrage'!$B$4+J30)+('⚙️ Calibrage'!$B$3+I30)*'⚙️ Calibrage'!$B$9)/MAX(0.01,1-('⚙️ Calibrage'!$B$7+M30)/100))/'⚙️ Calibrage'!$B$10-'⚙️ Calibrage'!$B$11,1)</f>
        <v/>
      </c>
      <c r="Q30" s="5" t="n">
        <v>0</v>
      </c>
      <c r="R30" s="5" t="inlineStr">
        <is>
          <t>Bouclier gobelin 2 mains — défense brute + crit, on tape moins fort. — version infusée (améliorée).</t>
        </is>
      </c>
    </row>
    <row r="31">
      <c r="A31" t="inlineStr">
        <is>
          <t>gobelin_buckler_plus</t>
        </is>
      </c>
      <c r="B31" t="inlineStr">
        <is>
          <t>Rondache gobeline +</t>
        </is>
      </c>
      <c r="C31" t="inlineStr">
        <is>
          <t>Bouclier</t>
        </is>
      </c>
      <c r="D31" t="inlineStr">
        <is>
          <t>main_droite</t>
        </is>
      </c>
      <c r="E31" t="inlineStr">
        <is>
          <t>gobelin_plus</t>
        </is>
      </c>
      <c r="F31" t="inlineStr">
        <is>
          <t>uncommon</t>
        </is>
      </c>
      <c r="G31" t="inlineStr">
        <is>
          <t>non</t>
        </is>
      </c>
      <c r="H31" t="n">
        <v>0</v>
      </c>
      <c r="I31" t="n">
        <v>11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s="6">
        <f>ROUND((('⚙️ Calibrage'!$B$2+H31)*(1+(('⚙️ Calibrage'!$B$5+K31)/100)*MAX(0,('⚙️ Calibrage'!$B$6+L31)-100)/100)*(1+('⚙️ Calibrage'!$B$8+N31)/100))*((('⚙️ Calibrage'!$B$4+J31)+('⚙️ Calibrage'!$B$3+I31)*'⚙️ Calibrage'!$B$9)/MAX(0.01,1-('⚙️ Calibrage'!$B$7+M31)/100))/'⚙️ Calibrage'!$B$10-'⚙️ Calibrage'!$B$11,1)</f>
        <v/>
      </c>
      <c r="Q31" t="n">
        <v>0</v>
      </c>
      <c r="R31" t="inlineStr">
        <is>
          <t>Variante du bouclier gobelin — orientée crit + défense. — version infusée (améliorée).</t>
        </is>
      </c>
    </row>
    <row r="32">
      <c r="A32" s="5" t="inlineStr">
        <is>
          <t>iron_warshield</t>
        </is>
      </c>
      <c r="B32" s="5" t="inlineStr">
        <is>
          <t>Pavois en fer</t>
        </is>
      </c>
      <c r="C32" s="5" t="inlineStr">
        <is>
          <t>Bouclier</t>
        </is>
      </c>
      <c r="D32" s="5" t="inlineStr">
        <is>
          <t>main_droite</t>
        </is>
      </c>
      <c r="E32" s="5" t="inlineStr">
        <is>
          <t>iron</t>
        </is>
      </c>
      <c r="F32" s="5" t="inlineStr">
        <is>
          <t>common</t>
        </is>
      </c>
      <c r="G32" s="5" t="inlineStr">
        <is>
          <t>non</t>
        </is>
      </c>
      <c r="H32" s="5" t="n">
        <v>0</v>
      </c>
      <c r="I32" s="5" t="n">
        <v>7</v>
      </c>
      <c r="J32" s="5" t="n">
        <v>4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6">
        <f>ROUND((('⚙️ Calibrage'!$B$2+H32)*(1+(('⚙️ Calibrage'!$B$5+K32)/100)*MAX(0,('⚙️ Calibrage'!$B$6+L32)-100)/100)*(1+('⚙️ Calibrage'!$B$8+N32)/100))*((('⚙️ Calibrage'!$B$4+J32)+('⚙️ Calibrage'!$B$3+I32)*'⚙️ Calibrage'!$B$9)/MAX(0.01,1-('⚙️ Calibrage'!$B$7+M32)/100))/'⚙️ Calibrage'!$B$10-'⚙️ Calibrage'!$B$11,1)</f>
        <v/>
      </c>
      <c r="Q32" s="5" t="n">
        <v>0</v>
      </c>
      <c r="R32" s="5" t="inlineStr">
        <is>
          <t>Variante tanky de la rondache — plus de PV, moins d'esquive.</t>
        </is>
      </c>
    </row>
    <row r="33">
      <c r="A33" t="inlineStr">
        <is>
          <t>iron_buckler</t>
        </is>
      </c>
      <c r="B33" t="inlineStr">
        <is>
          <t>Rondache en fer</t>
        </is>
      </c>
      <c r="C33" t="inlineStr">
        <is>
          <t>Bouclier</t>
        </is>
      </c>
      <c r="D33" t="inlineStr">
        <is>
          <t>main_droite</t>
        </is>
      </c>
      <c r="E33" t="inlineStr">
        <is>
          <t>iron</t>
        </is>
      </c>
      <c r="F33" t="inlineStr">
        <is>
          <t>uncommon</t>
        </is>
      </c>
      <c r="G33" t="inlineStr">
        <is>
          <t>non</t>
        </is>
      </c>
      <c r="H33" t="n">
        <v>0</v>
      </c>
      <c r="I33" t="n">
        <v>7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s="6">
        <f>ROUND((('⚙️ Calibrage'!$B$2+H33)*(1+(('⚙️ Calibrage'!$B$5+K33)/100)*MAX(0,('⚙️ Calibrage'!$B$6+L33)-100)/100)*(1+('⚙️ Calibrage'!$B$8+N33)/100))*((('⚙️ Calibrage'!$B$4+J33)+('⚙️ Calibrage'!$B$3+I33)*'⚙️ Calibrage'!$B$9)/MAX(0.01,1-('⚙️ Calibrage'!$B$7+M33)/100))/'⚙️ Calibrage'!$B$10-'⚙️ Calibrage'!$B$11,1)</f>
        <v/>
      </c>
      <c r="Q33" t="n">
        <v>0</v>
      </c>
      <c r="R33" t="inlineStr">
        <is>
          <t>Un petit bouclier rond, à porter en main gauche.</t>
        </is>
      </c>
    </row>
    <row r="34">
      <c r="A34" s="5" t="inlineStr">
        <is>
          <t>iron_tower_shield</t>
        </is>
      </c>
      <c r="B34" s="5" t="inlineStr">
        <is>
          <t>Tour en fer</t>
        </is>
      </c>
      <c r="C34" s="5" t="inlineStr">
        <is>
          <t>Bouclier</t>
        </is>
      </c>
      <c r="D34" s="5" t="inlineStr">
        <is>
          <t>main_droite</t>
        </is>
      </c>
      <c r="E34" s="5" t="inlineStr">
        <is>
          <t>iron</t>
        </is>
      </c>
      <c r="F34" s="5" t="inlineStr">
        <is>
          <t>rare</t>
        </is>
      </c>
      <c r="G34" s="5" t="inlineStr">
        <is>
          <t>oui</t>
        </is>
      </c>
      <c r="H34" s="5" t="n">
        <v>-4</v>
      </c>
      <c r="I34" s="5" t="n">
        <v>14</v>
      </c>
      <c r="J34" s="5" t="n">
        <v>8</v>
      </c>
      <c r="K34" s="5" t="n">
        <v>0</v>
      </c>
      <c r="L34" s="5" t="n">
        <v>0</v>
      </c>
      <c r="M34" s="5" t="n">
        <v>0</v>
      </c>
      <c r="N34" s="5" t="n">
        <v>0</v>
      </c>
      <c r="O34" s="5" t="n">
        <v>0</v>
      </c>
      <c r="P34" s="6">
        <f>ROUND((('⚙️ Calibrage'!$B$2+H34)*(1+(('⚙️ Calibrage'!$B$5+K34)/100)*MAX(0,('⚙️ Calibrage'!$B$6+L34)-100)/100)*(1+('⚙️ Calibrage'!$B$8+N34)/100))*((('⚙️ Calibrage'!$B$4+J34)+('⚙️ Calibrage'!$B$3+I34)*'⚙️ Calibrage'!$B$9)/MAX(0.01,1-('⚙️ Calibrage'!$B$7+M34)/100))/'⚙️ Calibrage'!$B$10-'⚙️ Calibrage'!$B$11,1)</f>
        <v/>
      </c>
      <c r="Q34" s="5" t="n">
        <v>0</v>
      </c>
      <c r="R34" s="5" t="inlineStr">
        <is>
          <t>Bouclier-tour à 2 mains — forteresse mobile au prix de l'offensive.</t>
        </is>
      </c>
    </row>
    <row r="35">
      <c r="A35" t="inlineStr">
        <is>
          <t>leather_main_gauche</t>
        </is>
      </c>
      <c r="B35" t="inlineStr">
        <is>
          <t>Bouclier en cuir</t>
        </is>
      </c>
      <c r="C35" t="inlineStr">
        <is>
          <t>Bouclier</t>
        </is>
      </c>
      <c r="D35" t="inlineStr">
        <is>
          <t>main_droite</t>
        </is>
      </c>
      <c r="E35" t="inlineStr">
        <is>
          <t>leather</t>
        </is>
      </c>
      <c r="F35" t="inlineStr">
        <is>
          <t>common</t>
        </is>
      </c>
      <c r="G35" t="inlineStr">
        <is>
          <t>non</t>
        </is>
      </c>
      <c r="H35" t="n">
        <v>0</v>
      </c>
      <c r="I35" t="n">
        <v>7</v>
      </c>
      <c r="J35" t="n">
        <v>0</v>
      </c>
      <c r="K35" t="n">
        <v>0</v>
      </c>
      <c r="L35" t="n">
        <v>0</v>
      </c>
      <c r="M35" t="n">
        <v>2</v>
      </c>
      <c r="N35" t="n">
        <v>0</v>
      </c>
      <c r="O35" t="n">
        <v>0</v>
      </c>
      <c r="P35" s="6">
        <f>ROUND((('⚙️ Calibrage'!$B$2+H35)*(1+(('⚙️ Calibrage'!$B$5+K35)/100)*MAX(0,('⚙️ Calibrage'!$B$6+L35)-100)/100)*(1+('⚙️ Calibrage'!$B$8+N35)/100))*((('⚙️ Calibrage'!$B$4+J35)+('⚙️ Calibrage'!$B$3+I35)*'⚙️ Calibrage'!$B$9)/MAX(0.01,1-('⚙️ Calibrage'!$B$7+M35)/100))/'⚙️ Calibrage'!$B$10-'⚙️ Calibrage'!$B$11,1)</f>
        <v/>
      </c>
      <c r="Q35" t="n">
        <v>12</v>
      </c>
      <c r="R35" t="inlineStr">
        <is>
          <t>Pièce de la panoplie leather — bonus de set actif dès 2 pièces.</t>
        </is>
      </c>
    </row>
    <row r="36">
      <c r="A36" s="5" t="inlineStr">
        <is>
          <t>leather_buckler</t>
        </is>
      </c>
      <c r="B36" s="5" t="inlineStr">
        <is>
          <t>Rondache en cuir</t>
        </is>
      </c>
      <c r="C36" s="5" t="inlineStr">
        <is>
          <t>Bouclier</t>
        </is>
      </c>
      <c r="D36" s="5" t="inlineStr">
        <is>
          <t>main_droite</t>
        </is>
      </c>
      <c r="E36" s="5" t="inlineStr">
        <is>
          <t>leather</t>
        </is>
      </c>
      <c r="F36" s="5" t="inlineStr">
        <is>
          <t>common</t>
        </is>
      </c>
      <c r="G36" s="5" t="inlineStr">
        <is>
          <t>non</t>
        </is>
      </c>
      <c r="H36" s="5" t="n">
        <v>0</v>
      </c>
      <c r="I36" s="5" t="n">
        <v>7</v>
      </c>
      <c r="J36" s="5" t="n">
        <v>0</v>
      </c>
      <c r="K36" s="5" t="n">
        <v>0</v>
      </c>
      <c r="L36" s="5" t="n">
        <v>0</v>
      </c>
      <c r="M36" s="5" t="n">
        <v>2</v>
      </c>
      <c r="N36" s="5" t="n">
        <v>0</v>
      </c>
      <c r="O36" s="5" t="n">
        <v>0</v>
      </c>
      <c r="P36" s="6">
        <f>ROUND((('⚙️ Calibrage'!$B$2+H36)*(1+(('⚙️ Calibrage'!$B$5+K36)/100)*MAX(0,('⚙️ Calibrage'!$B$6+L36)-100)/100)*(1+('⚙️ Calibrage'!$B$8+N36)/100))*((('⚙️ Calibrage'!$B$4+J36)+('⚙️ Calibrage'!$B$3+I36)*'⚙️ Calibrage'!$B$9)/MAX(0.01,1-('⚙️ Calibrage'!$B$7+M36)/100))/'⚙️ Calibrage'!$B$10-'⚙️ Calibrage'!$B$11,1)</f>
        <v/>
      </c>
      <c r="Q36" s="5" t="n">
        <v>0</v>
      </c>
      <c r="R36" s="5" t="inlineStr">
        <is>
          <t>Variante tanky du bouclier en cuir — plus de PV, moins d'esquive.</t>
        </is>
      </c>
    </row>
    <row r="37">
      <c r="A37" t="inlineStr">
        <is>
          <t>leather_tower_shield</t>
        </is>
      </c>
      <c r="B37" t="inlineStr">
        <is>
          <t>Tour en cuir</t>
        </is>
      </c>
      <c r="C37" t="inlineStr">
        <is>
          <t>Bouclier</t>
        </is>
      </c>
      <c r="D37" t="inlineStr">
        <is>
          <t>main_droite</t>
        </is>
      </c>
      <c r="E37" t="inlineStr">
        <is>
          <t>leather</t>
        </is>
      </c>
      <c r="F37" t="inlineStr">
        <is>
          <t>rare</t>
        </is>
      </c>
      <c r="G37" t="inlineStr">
        <is>
          <t>oui</t>
        </is>
      </c>
      <c r="H37" t="n">
        <v>-4</v>
      </c>
      <c r="I37" t="n">
        <v>14</v>
      </c>
      <c r="J37" t="n">
        <v>0</v>
      </c>
      <c r="K37" t="n">
        <v>0</v>
      </c>
      <c r="L37" t="n">
        <v>0</v>
      </c>
      <c r="M37" t="n">
        <v>4</v>
      </c>
      <c r="N37" t="n">
        <v>0</v>
      </c>
      <c r="O37" t="n">
        <v>0</v>
      </c>
      <c r="P37" s="6">
        <f>ROUND((('⚙️ Calibrage'!$B$2+H37)*(1+(('⚙️ Calibrage'!$B$5+K37)/100)*MAX(0,('⚙️ Calibrage'!$B$6+L37)-100)/100)*(1+('⚙️ Calibrage'!$B$8+N37)/100))*((('⚙️ Calibrage'!$B$4+J37)+('⚙️ Calibrage'!$B$3+I37)*'⚙️ Calibrage'!$B$9)/MAX(0.01,1-('⚙️ Calibrage'!$B$7+M37)/100))/'⚙️ Calibrage'!$B$10-'⚙️ Calibrage'!$B$11,1)</f>
        <v/>
      </c>
      <c r="Q37" t="n">
        <v>0</v>
      </c>
      <c r="R37" t="inlineStr">
        <is>
          <t>Bouclier 2 mains en cuir tanné — défense + esquive contre 0 attaque.</t>
        </is>
      </c>
    </row>
    <row r="38">
      <c r="A38" s="5" t="inlineStr">
        <is>
          <t>linen_main_gauche</t>
        </is>
      </c>
      <c r="B38" s="5" t="inlineStr">
        <is>
          <t>Bouclier en lin</t>
        </is>
      </c>
      <c r="C38" s="5" t="inlineStr">
        <is>
          <t>Bouclier</t>
        </is>
      </c>
      <c r="D38" s="5" t="inlineStr">
        <is>
          <t>main_droite</t>
        </is>
      </c>
      <c r="E38" s="5" t="inlineStr">
        <is>
          <t>linen</t>
        </is>
      </c>
      <c r="F38" s="5" t="inlineStr">
        <is>
          <t>common</t>
        </is>
      </c>
      <c r="G38" s="5" t="inlineStr">
        <is>
          <t>non</t>
        </is>
      </c>
      <c r="H38" s="5" t="n">
        <v>0</v>
      </c>
      <c r="I38" s="5" t="n">
        <v>7</v>
      </c>
      <c r="J38" s="5" t="n">
        <v>0</v>
      </c>
      <c r="K38" s="5" t="n">
        <v>0</v>
      </c>
      <c r="L38" s="5" t="n">
        <v>2</v>
      </c>
      <c r="M38" s="5" t="n">
        <v>0</v>
      </c>
      <c r="N38" s="5" t="n">
        <v>0</v>
      </c>
      <c r="O38" s="5" t="n">
        <v>0</v>
      </c>
      <c r="P38" s="6">
        <f>ROUND((('⚙️ Calibrage'!$B$2+H38)*(1+(('⚙️ Calibrage'!$B$5+K38)/100)*MAX(0,('⚙️ Calibrage'!$B$6+L38)-100)/100)*(1+('⚙️ Calibrage'!$B$8+N38)/100))*((('⚙️ Calibrage'!$B$4+J38)+('⚙️ Calibrage'!$B$3+I38)*'⚙️ Calibrage'!$B$9)/MAX(0.01,1-('⚙️ Calibrage'!$B$7+M38)/100))/'⚙️ Calibrage'!$B$10-'⚙️ Calibrage'!$B$11,1)</f>
        <v/>
      </c>
      <c r="Q38" s="5" t="n">
        <v>12</v>
      </c>
      <c r="R38" s="5" t="inlineStr">
        <is>
          <t>Pièce de la panoplie linen — bonus de set actif dès 2 pièces.</t>
        </is>
      </c>
    </row>
    <row r="39">
      <c r="A39" t="inlineStr">
        <is>
          <t>linen_tower_shield</t>
        </is>
      </c>
      <c r="B39" t="inlineStr">
        <is>
          <t>Tour en lin</t>
        </is>
      </c>
      <c r="C39" t="inlineStr">
        <is>
          <t>Bouclier</t>
        </is>
      </c>
      <c r="D39" t="inlineStr">
        <is>
          <t>main_droite</t>
        </is>
      </c>
      <c r="E39" t="inlineStr">
        <is>
          <t>linen</t>
        </is>
      </c>
      <c r="F39" t="inlineStr">
        <is>
          <t>rare</t>
        </is>
      </c>
      <c r="G39" t="inlineStr">
        <is>
          <t>oui</t>
        </is>
      </c>
      <c r="H39" t="n">
        <v>-4</v>
      </c>
      <c r="I39" t="n">
        <v>14</v>
      </c>
      <c r="J39" t="n">
        <v>0</v>
      </c>
      <c r="K39" t="n">
        <v>0</v>
      </c>
      <c r="L39" t="n">
        <v>4</v>
      </c>
      <c r="M39" t="n">
        <v>0</v>
      </c>
      <c r="N39" t="n">
        <v>0</v>
      </c>
      <c r="O39" t="n">
        <v>0</v>
      </c>
      <c r="P39" s="6">
        <f>ROUND((('⚙️ Calibrage'!$B$2+H39)*(1+(('⚙️ Calibrage'!$B$5+K39)/100)*MAX(0,('⚙️ Calibrage'!$B$6+L39)-100)/100)*(1+('⚙️ Calibrage'!$B$8+N39)/100))*((('⚙️ Calibrage'!$B$4+J39)+('⚙️ Calibrage'!$B$3+I39)*'⚙️ Calibrage'!$B$9)/MAX(0.01,1-('⚙️ Calibrage'!$B$7+M39)/100))/'⚙️ Calibrage'!$B$10-'⚙️ Calibrage'!$B$11,1)</f>
        <v/>
      </c>
      <c r="Q39" t="n">
        <v>0</v>
      </c>
      <c r="R39" t="inlineStr">
        <is>
          <t>Bouclier 2 mains en lin — pure esquive, dégâts en chute libre.</t>
        </is>
      </c>
    </row>
    <row r="40">
      <c r="A40" s="5" t="inlineStr">
        <is>
          <t>linen_aegis</t>
        </is>
      </c>
      <c r="B40" s="5" t="inlineStr">
        <is>
          <t>Égide en lin</t>
        </is>
      </c>
      <c r="C40" s="5" t="inlineStr">
        <is>
          <t>Bouclier</t>
        </is>
      </c>
      <c r="D40" s="5" t="inlineStr">
        <is>
          <t>main_droite</t>
        </is>
      </c>
      <c r="E40" s="5" t="inlineStr">
        <is>
          <t>linen</t>
        </is>
      </c>
      <c r="F40" s="5" t="inlineStr">
        <is>
          <t>common</t>
        </is>
      </c>
      <c r="G40" s="5" t="inlineStr">
        <is>
          <t>non</t>
        </is>
      </c>
      <c r="H40" s="5" t="n">
        <v>0</v>
      </c>
      <c r="I40" s="5" t="n">
        <v>7</v>
      </c>
      <c r="J40" s="5" t="n">
        <v>0</v>
      </c>
      <c r="K40" s="5" t="n">
        <v>0</v>
      </c>
      <c r="L40" s="5" t="n">
        <v>2</v>
      </c>
      <c r="M40" s="5" t="n">
        <v>0</v>
      </c>
      <c r="N40" s="5" t="n">
        <v>0</v>
      </c>
      <c r="O40" s="5" t="n">
        <v>0</v>
      </c>
      <c r="P40" s="6">
        <f>ROUND((('⚙️ Calibrage'!$B$2+H40)*(1+(('⚙️ Calibrage'!$B$5+K40)/100)*MAX(0,('⚙️ Calibrage'!$B$6+L40)-100)/100)*(1+('⚙️ Calibrage'!$B$8+N40)/100))*((('⚙️ Calibrage'!$B$4+J40)+('⚙️ Calibrage'!$B$3+I40)*'⚙️ Calibrage'!$B$9)/MAX(0.01,1-('⚙️ Calibrage'!$B$7+M40)/100))/'⚙️ Calibrage'!$B$10-'⚙️ Calibrage'!$B$11,1)</f>
        <v/>
      </c>
      <c r="Q40" s="5" t="n">
        <v>0</v>
      </c>
      <c r="R40" s="5" t="inlineStr">
        <is>
          <t>Variante esquive du bouclier en lin — optimisée pour les agiles.</t>
        </is>
      </c>
    </row>
    <row r="41">
      <c r="A41" t="inlineStr">
        <is>
          <t>slime_buckler</t>
        </is>
      </c>
      <c r="B41" t="inlineStr">
        <is>
          <t>Bouclier de gel</t>
        </is>
      </c>
      <c r="C41" t="inlineStr">
        <is>
          <t>Bouclier</t>
        </is>
      </c>
      <c r="D41" t="inlineStr">
        <is>
          <t>main_droite</t>
        </is>
      </c>
      <c r="E41" t="inlineStr">
        <is>
          <t>slime</t>
        </is>
      </c>
      <c r="F41" t="inlineStr">
        <is>
          <t>common</t>
        </is>
      </c>
      <c r="G41" t="inlineStr">
        <is>
          <t>non</t>
        </is>
      </c>
      <c r="H41" t="n">
        <v>0</v>
      </c>
      <c r="I41" t="n">
        <v>7</v>
      </c>
      <c r="J41" t="n">
        <v>6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s="6">
        <f>ROUND((('⚙️ Calibrage'!$B$2+H41)*(1+(('⚙️ Calibrage'!$B$5+K41)/100)*MAX(0,('⚙️ Calibrage'!$B$6+L41)-100)/100)*(1+('⚙️ Calibrage'!$B$8+N41)/100))*((('⚙️ Calibrage'!$B$4+J41)+('⚙️ Calibrage'!$B$3+I41)*'⚙️ Calibrage'!$B$9)/MAX(0.01,1-('⚙️ Calibrage'!$B$7+M41)/100))/'⚙️ Calibrage'!$B$10-'⚙️ Calibrage'!$B$11,1)</f>
        <v/>
      </c>
      <c r="Q41" t="n">
        <v>0</v>
      </c>
      <c r="R41" t="inlineStr">
        <is>
          <t>Variante régen du bouclier visqueux — moins de PV, plus de régen.</t>
        </is>
      </c>
    </row>
    <row r="42">
      <c r="A42" s="5" t="inlineStr">
        <is>
          <t>slime_shield</t>
        </is>
      </c>
      <c r="B42" s="5" t="inlineStr">
        <is>
          <t>Bouclier visqueux</t>
        </is>
      </c>
      <c r="C42" s="5" t="inlineStr">
        <is>
          <t>Bouclier</t>
        </is>
      </c>
      <c r="D42" s="5" t="inlineStr">
        <is>
          <t>main_droite</t>
        </is>
      </c>
      <c r="E42" s="5" t="inlineStr">
        <is>
          <t>slime</t>
        </is>
      </c>
      <c r="F42" s="5" t="inlineStr">
        <is>
          <t>uncommon</t>
        </is>
      </c>
      <c r="G42" s="5" t="inlineStr">
        <is>
          <t>non</t>
        </is>
      </c>
      <c r="H42" s="5" t="n">
        <v>0</v>
      </c>
      <c r="I42" s="5" t="n">
        <v>7</v>
      </c>
      <c r="J42" s="5" t="n">
        <v>6</v>
      </c>
      <c r="K42" s="5" t="n">
        <v>0</v>
      </c>
      <c r="L42" s="5" t="n">
        <v>0</v>
      </c>
      <c r="M42" s="5" t="n">
        <v>0</v>
      </c>
      <c r="N42" s="5" t="n">
        <v>0</v>
      </c>
      <c r="O42" s="5" t="n">
        <v>0</v>
      </c>
      <c r="P42" s="6">
        <f>ROUND((('⚙️ Calibrage'!$B$2+H42)*(1+(('⚙️ Calibrage'!$B$5+K42)/100)*MAX(0,('⚙️ Calibrage'!$B$6+L42)-100)/100)*(1+('⚙️ Calibrage'!$B$8+N42)/100))*((('⚙️ Calibrage'!$B$4+J42)+('⚙️ Calibrage'!$B$3+I42)*'⚙️ Calibrage'!$B$9)/MAX(0.01,1-('⚙️ Calibrage'!$B$7+M42)/100))/'⚙️ Calibrage'!$B$10-'⚙️ Calibrage'!$B$11,1)</f>
        <v/>
      </c>
      <c r="Q42" s="5" t="n">
        <v>0</v>
      </c>
      <c r="R42" s="5" t="inlineStr">
        <is>
          <t>Bouclier en bois enveloppé de gel de slime — absorbe les chocs comme une éponge.</t>
        </is>
      </c>
    </row>
    <row r="43">
      <c r="A43" t="inlineStr">
        <is>
          <t>slime_tower_shield</t>
        </is>
      </c>
      <c r="B43" t="inlineStr">
        <is>
          <t>Tour de gel</t>
        </is>
      </c>
      <c r="C43" t="inlineStr">
        <is>
          <t>Bouclier</t>
        </is>
      </c>
      <c r="D43" t="inlineStr">
        <is>
          <t>main_droite</t>
        </is>
      </c>
      <c r="E43" t="inlineStr">
        <is>
          <t>slime</t>
        </is>
      </c>
      <c r="F43" t="inlineStr">
        <is>
          <t>rare</t>
        </is>
      </c>
      <c r="G43" t="inlineStr">
        <is>
          <t>oui</t>
        </is>
      </c>
      <c r="H43" t="n">
        <v>-4</v>
      </c>
      <c r="I43" t="n">
        <v>14</v>
      </c>
      <c r="J43" t="n">
        <v>12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s="6">
        <f>ROUND((('⚙️ Calibrage'!$B$2+H43)*(1+(('⚙️ Calibrage'!$B$5+K43)/100)*MAX(0,('⚙️ Calibrage'!$B$6+L43)-100)/100)*(1+('⚙️ Calibrage'!$B$8+N43)/100))*((('⚙️ Calibrage'!$B$4+J43)+('⚙️ Calibrage'!$B$3+I43)*'⚙️ Calibrage'!$B$9)/MAX(0.01,1-('⚙️ Calibrage'!$B$7+M43)/100))/'⚙️ Calibrage'!$B$10-'⚙️ Calibrage'!$B$11,1)</f>
        <v/>
      </c>
      <c r="Q43" t="n">
        <v>0</v>
      </c>
      <c r="R43" t="inlineStr">
        <is>
          <t>Bouclier 2 mains — pure défense, on n'attaque presque plus.</t>
        </is>
      </c>
    </row>
    <row r="44">
      <c r="A44" s="5" t="inlineStr">
        <is>
          <t>slime_buckler_plus</t>
        </is>
      </c>
      <c r="B44" s="5" t="inlineStr">
        <is>
          <t>Bouclier de gel +</t>
        </is>
      </c>
      <c r="C44" s="5" t="inlineStr">
        <is>
          <t>Bouclier</t>
        </is>
      </c>
      <c r="D44" s="5" t="inlineStr">
        <is>
          <t>main_droite</t>
        </is>
      </c>
      <c r="E44" s="5" t="inlineStr">
        <is>
          <t>slime_plus</t>
        </is>
      </c>
      <c r="F44" s="5" t="inlineStr">
        <is>
          <t>uncommon</t>
        </is>
      </c>
      <c r="G44" s="5" t="inlineStr">
        <is>
          <t>non</t>
        </is>
      </c>
      <c r="H44" s="5" t="n">
        <v>0</v>
      </c>
      <c r="I44" s="5" t="n">
        <v>11</v>
      </c>
      <c r="J44" s="5" t="n">
        <v>9</v>
      </c>
      <c r="K44" s="5" t="n">
        <v>0</v>
      </c>
      <c r="L44" s="5" t="n">
        <v>0</v>
      </c>
      <c r="M44" s="5" t="n">
        <v>0</v>
      </c>
      <c r="N44" s="5" t="n">
        <v>0</v>
      </c>
      <c r="O44" s="5" t="n">
        <v>0</v>
      </c>
      <c r="P44" s="6">
        <f>ROUND((('⚙️ Calibrage'!$B$2+H44)*(1+(('⚙️ Calibrage'!$B$5+K44)/100)*MAX(0,('⚙️ Calibrage'!$B$6+L44)-100)/100)*(1+('⚙️ Calibrage'!$B$8+N44)/100))*((('⚙️ Calibrage'!$B$4+J44)+('⚙️ Calibrage'!$B$3+I44)*'⚙️ Calibrage'!$B$9)/MAX(0.01,1-('⚙️ Calibrage'!$B$7+M44)/100))/'⚙️ Calibrage'!$B$10-'⚙️ Calibrage'!$B$11,1)</f>
        <v/>
      </c>
      <c r="Q44" s="5" t="n">
        <v>0</v>
      </c>
      <c r="R44" s="5" t="inlineStr">
        <is>
          <t>Variante régen du bouclier visqueux — moins de PV, plus de régen. — version infusée (améliorée).</t>
        </is>
      </c>
    </row>
    <row r="45">
      <c r="A45" t="inlineStr">
        <is>
          <t>slime_shield_plus</t>
        </is>
      </c>
      <c r="B45" t="inlineStr">
        <is>
          <t>Bouclier visqueux +</t>
        </is>
      </c>
      <c r="C45" t="inlineStr">
        <is>
          <t>Bouclier</t>
        </is>
      </c>
      <c r="D45" t="inlineStr">
        <is>
          <t>main_droite</t>
        </is>
      </c>
      <c r="E45" t="inlineStr">
        <is>
          <t>slime_plus</t>
        </is>
      </c>
      <c r="F45" t="inlineStr">
        <is>
          <t>rare</t>
        </is>
      </c>
      <c r="G45" t="inlineStr">
        <is>
          <t>non</t>
        </is>
      </c>
      <c r="H45" t="n">
        <v>0</v>
      </c>
      <c r="I45" t="n">
        <v>11</v>
      </c>
      <c r="J45" t="n">
        <v>9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s="6">
        <f>ROUND((('⚙️ Calibrage'!$B$2+H45)*(1+(('⚙️ Calibrage'!$B$5+K45)/100)*MAX(0,('⚙️ Calibrage'!$B$6+L45)-100)/100)*(1+('⚙️ Calibrage'!$B$8+N45)/100))*((('⚙️ Calibrage'!$B$4+J45)+('⚙️ Calibrage'!$B$3+I45)*'⚙️ Calibrage'!$B$9)/MAX(0.01,1-('⚙️ Calibrage'!$B$7+M45)/100))/'⚙️ Calibrage'!$B$10-'⚙️ Calibrage'!$B$11,1)</f>
        <v/>
      </c>
      <c r="Q45" t="n">
        <v>0</v>
      </c>
      <c r="R45" t="inlineStr">
        <is>
          <t>Bouclier en bois enveloppé de gel de slime — absorbe les chocs comme une éponge. — version infusée (améliorée).</t>
        </is>
      </c>
    </row>
    <row r="46">
      <c r="A46" s="5" t="inlineStr">
        <is>
          <t>slime_tower_shield_plus</t>
        </is>
      </c>
      <c r="B46" s="5" t="inlineStr">
        <is>
          <t>Tour de gel +</t>
        </is>
      </c>
      <c r="C46" s="5" t="inlineStr">
        <is>
          <t>Bouclier</t>
        </is>
      </c>
      <c r="D46" s="5" t="inlineStr">
        <is>
          <t>main_droite</t>
        </is>
      </c>
      <c r="E46" s="5" t="inlineStr">
        <is>
          <t>slime_plus</t>
        </is>
      </c>
      <c r="F46" s="5" t="inlineStr">
        <is>
          <t>epic</t>
        </is>
      </c>
      <c r="G46" s="5" t="inlineStr">
        <is>
          <t>oui</t>
        </is>
      </c>
      <c r="H46" s="5" t="n">
        <v>-4</v>
      </c>
      <c r="I46" s="5" t="n">
        <v>21</v>
      </c>
      <c r="J46" s="5" t="n">
        <v>18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6">
        <f>ROUND((('⚙️ Calibrage'!$B$2+H46)*(1+(('⚙️ Calibrage'!$B$5+K46)/100)*MAX(0,('⚙️ Calibrage'!$B$6+L46)-100)/100)*(1+('⚙️ Calibrage'!$B$8+N46)/100))*((('⚙️ Calibrage'!$B$4+J46)+('⚙️ Calibrage'!$B$3+I46)*'⚙️ Calibrage'!$B$9)/MAX(0.01,1-('⚙️ Calibrage'!$B$7+M46)/100))/'⚙️ Calibrage'!$B$10-'⚙️ Calibrage'!$B$11,1)</f>
        <v/>
      </c>
      <c r="Q46" s="5" t="n">
        <v>0</v>
      </c>
      <c r="R46" s="5" t="inlineStr">
        <is>
          <t>Bouclier 2 mains — pure défense, on n'attaque presque plus. — version infusée (améliorée).</t>
        </is>
      </c>
    </row>
    <row r="47">
      <c r="A47" t="inlineStr">
        <is>
          <t>wooden_shield</t>
        </is>
      </c>
      <c r="B47" t="inlineStr">
        <is>
          <t>Bouclier en bois</t>
        </is>
      </c>
      <c r="C47" t="inlineStr">
        <is>
          <t>Bouclier</t>
        </is>
      </c>
      <c r="D47" t="inlineStr">
        <is>
          <t>main_droite</t>
        </is>
      </c>
      <c r="E47" t="inlineStr"/>
      <c r="F47" t="inlineStr">
        <is>
          <t>common</t>
        </is>
      </c>
      <c r="G47" t="inlineStr">
        <is>
          <t>non</t>
        </is>
      </c>
      <c r="H47" t="n">
        <v>0</v>
      </c>
      <c r="I47" t="n">
        <v>5</v>
      </c>
      <c r="J47" t="n">
        <v>6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s="6">
        <f>ROUND((('⚙️ Calibrage'!$B$2+H47)*(1+(('⚙️ Calibrage'!$B$5+K47)/100)*MAX(0,('⚙️ Calibrage'!$B$6+L47)-100)/100)*(1+('⚙️ Calibrage'!$B$8+N47)/100))*((('⚙️ Calibrage'!$B$4+J47)+('⚙️ Calibrage'!$B$3+I47)*'⚙️ Calibrage'!$B$9)/MAX(0.01,1-('⚙️ Calibrage'!$B$7+M47)/100))/'⚙️ Calibrage'!$B$10-'⚙️ Calibrage'!$B$11,1)</f>
        <v/>
      </c>
      <c r="Q47" t="n">
        <v>0</v>
      </c>
      <c r="R47" t="inlineStr">
        <is>
          <t>Un bouclier léger, à porter en main gauche.</t>
        </is>
      </c>
    </row>
    <row r="48">
      <c r="A48" s="5" t="inlineStr">
        <is>
          <t>gobelin_crown</t>
        </is>
      </c>
      <c r="B48" s="5" t="inlineStr">
        <is>
          <t>Couronne gobeline</t>
        </is>
      </c>
      <c r="C48" s="5" t="inlineStr">
        <is>
          <t>Casque</t>
        </is>
      </c>
      <c r="D48" s="5" t="inlineStr">
        <is>
          <t>casque</t>
        </is>
      </c>
      <c r="E48" s="5" t="inlineStr">
        <is>
          <t>gobelin</t>
        </is>
      </c>
      <c r="F48" s="5" t="inlineStr">
        <is>
          <t>rare</t>
        </is>
      </c>
      <c r="G48" s="5" t="inlineStr">
        <is>
          <t>non</t>
        </is>
      </c>
      <c r="H48" s="5" t="n">
        <v>7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6">
        <f>ROUND((('⚙️ Calibrage'!$B$2+H48)*(1+(('⚙️ Calibrage'!$B$5+K48)/100)*MAX(0,('⚙️ Calibrage'!$B$6+L48)-100)/100)*(1+('⚙️ Calibrage'!$B$8+N48)/100))*((('⚙️ Calibrage'!$B$4+J48)+('⚙️ Calibrage'!$B$3+I48)*'⚙️ Calibrage'!$B$9)/MAX(0.01,1-('⚙️ Calibrage'!$B$7+M48)/100))/'⚙️ Calibrage'!$B$10-'⚙️ Calibrage'!$B$11,1)</f>
        <v/>
      </c>
      <c r="Q48" s="5" t="n">
        <v>0</v>
      </c>
      <c r="R48" s="5" t="inlineStr">
        <is>
          <t>Couronne tribale, légère et étrange.</t>
        </is>
      </c>
    </row>
    <row r="49">
      <c r="A49" t="inlineStr">
        <is>
          <t>gobelin_crown_plus</t>
        </is>
      </c>
      <c r="B49" t="inlineStr">
        <is>
          <t>Couronne gobeline +</t>
        </is>
      </c>
      <c r="C49" t="inlineStr">
        <is>
          <t>Casque</t>
        </is>
      </c>
      <c r="D49" t="inlineStr">
        <is>
          <t>casque</t>
        </is>
      </c>
      <c r="E49" t="inlineStr">
        <is>
          <t>gobelin_plus</t>
        </is>
      </c>
      <c r="F49" t="inlineStr">
        <is>
          <t>epic</t>
        </is>
      </c>
      <c r="G49" t="inlineStr">
        <is>
          <t>non</t>
        </is>
      </c>
      <c r="H49" t="n">
        <v>11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s="6">
        <f>ROUND((('⚙️ Calibrage'!$B$2+H49)*(1+(('⚙️ Calibrage'!$B$5+K49)/100)*MAX(0,('⚙️ Calibrage'!$B$6+L49)-100)/100)*(1+('⚙️ Calibrage'!$B$8+N49)/100))*((('⚙️ Calibrage'!$B$4+J49)+('⚙️ Calibrage'!$B$3+I49)*'⚙️ Calibrage'!$B$9)/MAX(0.01,1-('⚙️ Calibrage'!$B$7+M49)/100))/'⚙️ Calibrage'!$B$10-'⚙️ Calibrage'!$B$11,1)</f>
        <v/>
      </c>
      <c r="Q49" t="n">
        <v>0</v>
      </c>
      <c r="R49" t="inlineStr">
        <is>
          <t>Couronne tribale, légère et étrange. — version infusée (améliorée).</t>
        </is>
      </c>
    </row>
    <row r="50">
      <c r="A50" s="5" t="inlineStr">
        <is>
          <t>iron_helmet</t>
        </is>
      </c>
      <c r="B50" s="5" t="inlineStr">
        <is>
          <t>Casque de fer</t>
        </is>
      </c>
      <c r="C50" s="5" t="inlineStr">
        <is>
          <t>Casque</t>
        </is>
      </c>
      <c r="D50" s="5" t="inlineStr">
        <is>
          <t>casque</t>
        </is>
      </c>
      <c r="E50" s="5" t="inlineStr">
        <is>
          <t>iron</t>
        </is>
      </c>
      <c r="F50" s="5" t="inlineStr">
        <is>
          <t>uncommon</t>
        </is>
      </c>
      <c r="G50" s="5" t="inlineStr">
        <is>
          <t>non</t>
        </is>
      </c>
      <c r="H50" s="5" t="n">
        <v>0</v>
      </c>
      <c r="I50" s="5" t="n">
        <v>0</v>
      </c>
      <c r="J50" s="5" t="n">
        <v>61</v>
      </c>
      <c r="K50" s="5" t="n">
        <v>0</v>
      </c>
      <c r="L50" s="5" t="n">
        <v>0</v>
      </c>
      <c r="M50" s="5" t="n">
        <v>0</v>
      </c>
      <c r="N50" s="5" t="n">
        <v>0</v>
      </c>
      <c r="O50" s="5" t="n">
        <v>0</v>
      </c>
      <c r="P50" s="6">
        <f>ROUND((('⚙️ Calibrage'!$B$2+H50)*(1+(('⚙️ Calibrage'!$B$5+K50)/100)*MAX(0,('⚙️ Calibrage'!$B$6+L50)-100)/100)*(1+('⚙️ Calibrage'!$B$8+N50)/100))*((('⚙️ Calibrage'!$B$4+J50)+('⚙️ Calibrage'!$B$3+I50)*'⚙️ Calibrage'!$B$9)/MAX(0.01,1-('⚙️ Calibrage'!$B$7+M50)/100))/'⚙️ Calibrage'!$B$10-'⚙️ Calibrage'!$B$11,1)</f>
        <v/>
      </c>
      <c r="Q50" s="5" t="n">
        <v>0</v>
      </c>
      <c r="R50" s="5" t="inlineStr">
        <is>
          <t>Un casque robuste forgé dans du fer.</t>
        </is>
      </c>
    </row>
    <row r="51">
      <c r="A51" t="inlineStr">
        <is>
          <t>leather_cap</t>
        </is>
      </c>
      <c r="B51" t="inlineStr">
        <is>
          <t>Casque en cuir</t>
        </is>
      </c>
      <c r="C51" t="inlineStr">
        <is>
          <t>Casque</t>
        </is>
      </c>
      <c r="D51" t="inlineStr">
        <is>
          <t>casque</t>
        </is>
      </c>
      <c r="E51" t="inlineStr">
        <is>
          <t>leather</t>
        </is>
      </c>
      <c r="F51" t="inlineStr">
        <is>
          <t>common</t>
        </is>
      </c>
      <c r="G51" t="inlineStr">
        <is>
          <t>non</t>
        </is>
      </c>
      <c r="H51" t="n">
        <v>0</v>
      </c>
      <c r="I51" t="n">
        <v>0</v>
      </c>
      <c r="J51" t="n">
        <v>30</v>
      </c>
      <c r="K51" t="n">
        <v>0</v>
      </c>
      <c r="L51" t="n">
        <v>0</v>
      </c>
      <c r="M51" t="n">
        <v>7</v>
      </c>
      <c r="N51" t="n">
        <v>0</v>
      </c>
      <c r="O51" t="n">
        <v>0</v>
      </c>
      <c r="P51" s="6">
        <f>ROUND((('⚙️ Calibrage'!$B$2+H51)*(1+(('⚙️ Calibrage'!$B$5+K51)/100)*MAX(0,('⚙️ Calibrage'!$B$6+L51)-100)/100)*(1+('⚙️ Calibrage'!$B$8+N51)/100))*((('⚙️ Calibrage'!$B$4+J51)+('⚙️ Calibrage'!$B$3+I51)*'⚙️ Calibrage'!$B$9)/MAX(0.01,1-('⚙️ Calibrage'!$B$7+M51)/100))/'⚙️ Calibrage'!$B$10-'⚙️ Calibrage'!$B$11,1)</f>
        <v/>
      </c>
      <c r="Q51" t="n">
        <v>0</v>
      </c>
      <c r="R51" t="inlineStr">
        <is>
          <t>Un casque léger.</t>
        </is>
      </c>
    </row>
    <row r="52">
      <c r="A52" s="5" t="inlineStr">
        <is>
          <t>linen_hood</t>
        </is>
      </c>
      <c r="B52" s="5" t="inlineStr">
        <is>
          <t>Capuche en lin</t>
        </is>
      </c>
      <c r="C52" s="5" t="inlineStr">
        <is>
          <t>Casque</t>
        </is>
      </c>
      <c r="D52" s="5" t="inlineStr">
        <is>
          <t>casque</t>
        </is>
      </c>
      <c r="E52" s="5" t="inlineStr">
        <is>
          <t>linen</t>
        </is>
      </c>
      <c r="F52" s="5" t="inlineStr">
        <is>
          <t>common</t>
        </is>
      </c>
      <c r="G52" s="5" t="inlineStr">
        <is>
          <t>non</t>
        </is>
      </c>
      <c r="H52" s="5" t="n">
        <v>0</v>
      </c>
      <c r="I52" s="5" t="n">
        <v>0</v>
      </c>
      <c r="J52" s="5" t="n">
        <v>0</v>
      </c>
      <c r="K52" s="5" t="n">
        <v>7</v>
      </c>
      <c r="L52" s="5" t="n">
        <v>12</v>
      </c>
      <c r="M52" s="5" t="n">
        <v>0</v>
      </c>
      <c r="N52" s="5" t="n">
        <v>0</v>
      </c>
      <c r="O52" s="5" t="n">
        <v>0</v>
      </c>
      <c r="P52" s="6">
        <f>ROUND((('⚙️ Calibrage'!$B$2+H52)*(1+(('⚙️ Calibrage'!$B$5+K52)/100)*MAX(0,('⚙️ Calibrage'!$B$6+L52)-100)/100)*(1+('⚙️ Calibrage'!$B$8+N52)/100))*((('⚙️ Calibrage'!$B$4+J52)+('⚙️ Calibrage'!$B$3+I52)*'⚙️ Calibrage'!$B$9)/MAX(0.01,1-('⚙️ Calibrage'!$B$7+M52)/100))/'⚙️ Calibrage'!$B$10-'⚙️ Calibrage'!$B$11,1)</f>
        <v/>
      </c>
      <c r="Q52" s="5" t="n">
        <v>0</v>
      </c>
      <c r="R52" s="5" t="inlineStr">
        <is>
          <t>Une capuche légère cousue dans du lin tressé.</t>
        </is>
      </c>
    </row>
    <row r="53">
      <c r="A53" t="inlineStr">
        <is>
          <t>slime_casque</t>
        </is>
      </c>
      <c r="B53" t="inlineStr">
        <is>
          <t>Casque de slime</t>
        </is>
      </c>
      <c r="C53" t="inlineStr">
        <is>
          <t>Casque</t>
        </is>
      </c>
      <c r="D53" t="inlineStr">
        <is>
          <t>casque</t>
        </is>
      </c>
      <c r="E53" t="inlineStr">
        <is>
          <t>slime</t>
        </is>
      </c>
      <c r="F53" t="inlineStr">
        <is>
          <t>uncommon</t>
        </is>
      </c>
      <c r="G53" t="inlineStr">
        <is>
          <t>non</t>
        </is>
      </c>
      <c r="H53" t="n">
        <v>0</v>
      </c>
      <c r="I53" t="n">
        <v>0</v>
      </c>
      <c r="J53" t="n">
        <v>81</v>
      </c>
      <c r="K53" t="n">
        <v>0</v>
      </c>
      <c r="L53" t="n">
        <v>0</v>
      </c>
      <c r="M53" t="n">
        <v>0</v>
      </c>
      <c r="N53" t="n">
        <v>0</v>
      </c>
      <c r="O53" t="n">
        <v>6</v>
      </c>
      <c r="P53" s="6">
        <f>ROUND((('⚙️ Calibrage'!$B$2+H53)*(1+(('⚙️ Calibrage'!$B$5+K53)/100)*MAX(0,('⚙️ Calibrage'!$B$6+L53)-100)/100)*(1+('⚙️ Calibrage'!$B$8+N53)/100))*((('⚙️ Calibrage'!$B$4+J53)+('⚙️ Calibrage'!$B$3+I53)*'⚙️ Calibrage'!$B$9)/MAX(0.01,1-('⚙️ Calibrage'!$B$7+M53)/100))/'⚙️ Calibrage'!$B$10-'⚙️ Calibrage'!$B$11,1)</f>
        <v/>
      </c>
      <c r="Q53" t="n">
        <v>18</v>
      </c>
      <c r="R53" t="inlineStr">
        <is>
          <t>Pièce de la panoplie slime — bonus de set actif dès 2 pièces.</t>
        </is>
      </c>
    </row>
    <row r="54">
      <c r="A54" s="5" t="inlineStr">
        <is>
          <t>slime_casque_plus</t>
        </is>
      </c>
      <c r="B54" s="5" t="inlineStr">
        <is>
          <t>Casque de slime +</t>
        </is>
      </c>
      <c r="C54" s="5" t="inlineStr">
        <is>
          <t>Casque</t>
        </is>
      </c>
      <c r="D54" s="5" t="inlineStr">
        <is>
          <t>casque</t>
        </is>
      </c>
      <c r="E54" s="5" t="inlineStr">
        <is>
          <t>slime_plus</t>
        </is>
      </c>
      <c r="F54" s="5" t="inlineStr">
        <is>
          <t>rare</t>
        </is>
      </c>
      <c r="G54" s="5" t="inlineStr">
        <is>
          <t>non</t>
        </is>
      </c>
      <c r="H54" s="5" t="n">
        <v>0</v>
      </c>
      <c r="I54" s="5" t="n">
        <v>0</v>
      </c>
      <c r="J54" s="5" t="n">
        <v>122</v>
      </c>
      <c r="K54" s="5" t="n">
        <v>0</v>
      </c>
      <c r="L54" s="5" t="n">
        <v>0</v>
      </c>
      <c r="M54" s="5" t="n">
        <v>0</v>
      </c>
      <c r="N54" s="5" t="n">
        <v>0</v>
      </c>
      <c r="O54" s="5" t="n">
        <v>9</v>
      </c>
      <c r="P54" s="6">
        <f>ROUND((('⚙️ Calibrage'!$B$2+H54)*(1+(('⚙️ Calibrage'!$B$5+K54)/100)*MAX(0,('⚙️ Calibrage'!$B$6+L54)-100)/100)*(1+('⚙️ Calibrage'!$B$8+N54)/100))*((('⚙️ Calibrage'!$B$4+J54)+('⚙️ Calibrage'!$B$3+I54)*'⚙️ Calibrage'!$B$9)/MAX(0.01,1-('⚙️ Calibrage'!$B$7+M54)/100))/'⚙️ Calibrage'!$B$10-'⚙️ Calibrage'!$B$11,1)</f>
        <v/>
      </c>
      <c r="Q54" s="5" t="n">
        <v>18</v>
      </c>
      <c r="R54" s="5" t="inlineStr">
        <is>
          <t>Pièce de la panoplie slime — bonus de set actif dès 2 pièces. — version infusée (améliorée).</t>
        </is>
      </c>
    </row>
    <row r="55">
      <c r="A55" t="inlineStr">
        <is>
          <t>colossus_plate</t>
        </is>
      </c>
      <c r="B55" t="inlineStr">
        <is>
          <t>Plastron du Colosse</t>
        </is>
      </c>
      <c r="C55" t="inlineStr">
        <is>
          <t>Plastron</t>
        </is>
      </c>
      <c r="D55" t="inlineStr">
        <is>
          <t>plastron</t>
        </is>
      </c>
      <c r="E55" t="inlineStr">
        <is>
          <t>boss</t>
        </is>
      </c>
      <c r="F55" t="inlineStr">
        <is>
          <t>epic</t>
        </is>
      </c>
      <c r="G55" t="inlineStr">
        <is>
          <t>non</t>
        </is>
      </c>
      <c r="H55" t="n">
        <v>0</v>
      </c>
      <c r="I55" t="n">
        <v>16</v>
      </c>
      <c r="J55" t="n">
        <v>150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s="6">
        <f>ROUND((('⚙️ Calibrage'!$B$2+H55)*(1+(('⚙️ Calibrage'!$B$5+K55)/100)*MAX(0,('⚙️ Calibrage'!$B$6+L55)-100)/100)*(1+('⚙️ Calibrage'!$B$8+N55)/100))*((('⚙️ Calibrage'!$B$4+J55)+('⚙️ Calibrage'!$B$3+I55)*'⚙️ Calibrage'!$B$9)/MAX(0.01,1-('⚙️ Calibrage'!$B$7+M55)/100))/'⚙️ Calibrage'!$B$10-'⚙️ Calibrage'!$B$11,1)</f>
        <v/>
      </c>
      <c r="Q55" t="n">
        <v>0</v>
      </c>
      <c r="R55" t="inlineStr">
        <is>
          <t>Trophée du Colosse de Pierre. Une muraille ambulante.</t>
        </is>
      </c>
    </row>
    <row r="56">
      <c r="A56" s="5" t="inlineStr">
        <is>
          <t>gobelin_plastron</t>
        </is>
      </c>
      <c r="B56" s="5" t="inlineStr">
        <is>
          <t>Plastron gobelin</t>
        </is>
      </c>
      <c r="C56" s="5" t="inlineStr">
        <is>
          <t>Plastron</t>
        </is>
      </c>
      <c r="D56" s="5" t="inlineStr">
        <is>
          <t>plastron</t>
        </is>
      </c>
      <c r="E56" s="5" t="inlineStr">
        <is>
          <t>gobelin</t>
        </is>
      </c>
      <c r="F56" s="5" t="inlineStr">
        <is>
          <t>uncommon</t>
        </is>
      </c>
      <c r="G56" s="5" t="inlineStr">
        <is>
          <t>non</t>
        </is>
      </c>
      <c r="H56" s="5" t="n">
        <v>7</v>
      </c>
      <c r="I56" s="5" t="n">
        <v>0</v>
      </c>
      <c r="J56" s="5" t="n">
        <v>0</v>
      </c>
      <c r="K56" s="5" t="n">
        <v>0</v>
      </c>
      <c r="L56" s="5" t="n">
        <v>0</v>
      </c>
      <c r="M56" s="5" t="n">
        <v>0</v>
      </c>
      <c r="N56" s="5" t="n">
        <v>0</v>
      </c>
      <c r="O56" s="5" t="n">
        <v>0</v>
      </c>
      <c r="P56" s="6">
        <f>ROUND((('⚙️ Calibrage'!$B$2+H56)*(1+(('⚙️ Calibrage'!$B$5+K56)/100)*MAX(0,('⚙️ Calibrage'!$B$6+L56)-100)/100)*(1+('⚙️ Calibrage'!$B$8+N56)/100))*((('⚙️ Calibrage'!$B$4+J56)+('⚙️ Calibrage'!$B$3+I56)*'⚙️ Calibrage'!$B$9)/MAX(0.01,1-('⚙️ Calibrage'!$B$7+M56)/100))/'⚙️ Calibrage'!$B$10-'⚙️ Calibrage'!$B$11,1)</f>
        <v/>
      </c>
      <c r="Q56" s="5" t="n">
        <v>21</v>
      </c>
      <c r="R56" s="5" t="inlineStr">
        <is>
          <t>Pièce de la panoplie gobelin — bonus de set actif dès 2 pièces.</t>
        </is>
      </c>
    </row>
    <row r="57">
      <c r="A57" t="inlineStr">
        <is>
          <t>gobelin_plastron_plus</t>
        </is>
      </c>
      <c r="B57" t="inlineStr">
        <is>
          <t>Plastron gobelin +</t>
        </is>
      </c>
      <c r="C57" t="inlineStr">
        <is>
          <t>Plastron</t>
        </is>
      </c>
      <c r="D57" t="inlineStr">
        <is>
          <t>plastron</t>
        </is>
      </c>
      <c r="E57" t="inlineStr">
        <is>
          <t>gobelin_plus</t>
        </is>
      </c>
      <c r="F57" t="inlineStr">
        <is>
          <t>rare</t>
        </is>
      </c>
      <c r="G57" t="inlineStr">
        <is>
          <t>non</t>
        </is>
      </c>
      <c r="H57" t="n">
        <v>11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s="6">
        <f>ROUND((('⚙️ Calibrage'!$B$2+H57)*(1+(('⚙️ Calibrage'!$B$5+K57)/100)*MAX(0,('⚙️ Calibrage'!$B$6+L57)-100)/100)*(1+('⚙️ Calibrage'!$B$8+N57)/100))*((('⚙️ Calibrage'!$B$4+J57)+('⚙️ Calibrage'!$B$3+I57)*'⚙️ Calibrage'!$B$9)/MAX(0.01,1-('⚙️ Calibrage'!$B$7+M57)/100))/'⚙️ Calibrage'!$B$10-'⚙️ Calibrage'!$B$11,1)</f>
        <v/>
      </c>
      <c r="Q57" t="n">
        <v>21</v>
      </c>
      <c r="R57" t="inlineStr">
        <is>
          <t>Pièce de la panoplie gobelin — bonus de set actif dès 2 pièces. — version infusée (améliorée).</t>
        </is>
      </c>
    </row>
    <row r="58">
      <c r="A58" s="5" t="inlineStr">
        <is>
          <t>iron_chest</t>
        </is>
      </c>
      <c r="B58" s="5" t="inlineStr">
        <is>
          <t>Plastron de fer</t>
        </is>
      </c>
      <c r="C58" s="5" t="inlineStr">
        <is>
          <t>Plastron</t>
        </is>
      </c>
      <c r="D58" s="5" t="inlineStr">
        <is>
          <t>plastron</t>
        </is>
      </c>
      <c r="E58" s="5" t="inlineStr">
        <is>
          <t>iron</t>
        </is>
      </c>
      <c r="F58" s="5" t="inlineStr">
        <is>
          <t>uncommon</t>
        </is>
      </c>
      <c r="G58" s="5" t="inlineStr">
        <is>
          <t>non</t>
        </is>
      </c>
      <c r="H58" s="5" t="n">
        <v>0</v>
      </c>
      <c r="I58" s="5" t="n">
        <v>0</v>
      </c>
      <c r="J58" s="5" t="n">
        <v>61</v>
      </c>
      <c r="K58" s="5" t="n">
        <v>0</v>
      </c>
      <c r="L58" s="5" t="n">
        <v>0</v>
      </c>
      <c r="M58" s="5" t="n">
        <v>0</v>
      </c>
      <c r="N58" s="5" t="n">
        <v>0</v>
      </c>
      <c r="O58" s="5" t="n">
        <v>0</v>
      </c>
      <c r="P58" s="6">
        <f>ROUND((('⚙️ Calibrage'!$B$2+H58)*(1+(('⚙️ Calibrage'!$B$5+K58)/100)*MAX(0,('⚙️ Calibrage'!$B$6+L58)-100)/100)*(1+('⚙️ Calibrage'!$B$8+N58)/100))*((('⚙️ Calibrage'!$B$4+J58)+('⚙️ Calibrage'!$B$3+I58)*'⚙️ Calibrage'!$B$9)/MAX(0.01,1-('⚙️ Calibrage'!$B$7+M58)/100))/'⚙️ Calibrage'!$B$10-'⚙️ Calibrage'!$B$11,1)</f>
        <v/>
      </c>
      <c r="Q58" s="5" t="n">
        <v>0</v>
      </c>
      <c r="R58" s="5" t="inlineStr">
        <is>
          <t>Plastron rigide qui absorbe les coups.</t>
        </is>
      </c>
    </row>
    <row r="59">
      <c r="A59" t="inlineStr">
        <is>
          <t>leather_chest</t>
        </is>
      </c>
      <c r="B59" t="inlineStr">
        <is>
          <t>Plastron en cuir</t>
        </is>
      </c>
      <c r="C59" t="inlineStr">
        <is>
          <t>Plastron</t>
        </is>
      </c>
      <c r="D59" t="inlineStr">
        <is>
          <t>plastron</t>
        </is>
      </c>
      <c r="E59" t="inlineStr">
        <is>
          <t>leather</t>
        </is>
      </c>
      <c r="F59" t="inlineStr">
        <is>
          <t>common</t>
        </is>
      </c>
      <c r="G59" t="inlineStr">
        <is>
          <t>non</t>
        </is>
      </c>
      <c r="H59" t="n">
        <v>0</v>
      </c>
      <c r="I59" t="n">
        <v>0</v>
      </c>
      <c r="J59" t="n">
        <v>30</v>
      </c>
      <c r="K59" t="n">
        <v>0</v>
      </c>
      <c r="L59" t="n">
        <v>0</v>
      </c>
      <c r="M59" t="n">
        <v>7</v>
      </c>
      <c r="N59" t="n">
        <v>0</v>
      </c>
      <c r="O59" t="n">
        <v>0</v>
      </c>
      <c r="P59" s="6">
        <f>ROUND((('⚙️ Calibrage'!$B$2+H59)*(1+(('⚙️ Calibrage'!$B$5+K59)/100)*MAX(0,('⚙️ Calibrage'!$B$6+L59)-100)/100)*(1+('⚙️ Calibrage'!$B$8+N59)/100))*((('⚙️ Calibrage'!$B$4+J59)+('⚙️ Calibrage'!$B$3+I59)*'⚙️ Calibrage'!$B$9)/MAX(0.01,1-('⚙️ Calibrage'!$B$7+M59)/100))/'⚙️ Calibrage'!$B$10-'⚙️ Calibrage'!$B$11,1)</f>
        <v/>
      </c>
      <c r="Q59" t="n">
        <v>0</v>
      </c>
      <c r="R59" t="inlineStr">
        <is>
          <t>Une protection de torse en cuir tanné.</t>
        </is>
      </c>
    </row>
    <row r="60">
      <c r="A60" s="5" t="inlineStr">
        <is>
          <t>linen_robe</t>
        </is>
      </c>
      <c r="B60" s="5" t="inlineStr">
        <is>
          <t>Robe en lin</t>
        </is>
      </c>
      <c r="C60" s="5" t="inlineStr">
        <is>
          <t>Plastron</t>
        </is>
      </c>
      <c r="D60" s="5" t="inlineStr">
        <is>
          <t>plastron</t>
        </is>
      </c>
      <c r="E60" s="5" t="inlineStr">
        <is>
          <t>linen</t>
        </is>
      </c>
      <c r="F60" s="5" t="inlineStr">
        <is>
          <t>common</t>
        </is>
      </c>
      <c r="G60" s="5" t="inlineStr">
        <is>
          <t>non</t>
        </is>
      </c>
      <c r="H60" s="5" t="n">
        <v>0</v>
      </c>
      <c r="I60" s="5" t="n">
        <v>0</v>
      </c>
      <c r="J60" s="5" t="n">
        <v>0</v>
      </c>
      <c r="K60" s="5" t="n">
        <v>7</v>
      </c>
      <c r="L60" s="5" t="n">
        <v>12</v>
      </c>
      <c r="M60" s="5" t="n">
        <v>0</v>
      </c>
      <c r="N60" s="5" t="n">
        <v>0</v>
      </c>
      <c r="O60" s="5" t="n">
        <v>0</v>
      </c>
      <c r="P60" s="6">
        <f>ROUND((('⚙️ Calibrage'!$B$2+H60)*(1+(('⚙️ Calibrage'!$B$5+K60)/100)*MAX(0,('⚙️ Calibrage'!$B$6+L60)-100)/100)*(1+('⚙️ Calibrage'!$B$8+N60)/100))*((('⚙️ Calibrage'!$B$4+J60)+('⚙️ Calibrage'!$B$3+I60)*'⚙️ Calibrage'!$B$9)/MAX(0.01,1-('⚙️ Calibrage'!$B$7+M60)/100))/'⚙️ Calibrage'!$B$10-'⚙️ Calibrage'!$B$11,1)</f>
        <v/>
      </c>
      <c r="Q60" s="5" t="n">
        <v>0</v>
      </c>
      <c r="R60" s="5" t="inlineStr">
        <is>
          <t>Vêtement modeste tissé pour les apprentis.</t>
        </is>
      </c>
    </row>
    <row r="61">
      <c r="A61" t="inlineStr">
        <is>
          <t>slime_plastron</t>
        </is>
      </c>
      <c r="B61" t="inlineStr">
        <is>
          <t>Plastron de slime</t>
        </is>
      </c>
      <c r="C61" t="inlineStr">
        <is>
          <t>Plastron</t>
        </is>
      </c>
      <c r="D61" t="inlineStr">
        <is>
          <t>plastron</t>
        </is>
      </c>
      <c r="E61" t="inlineStr">
        <is>
          <t>slime</t>
        </is>
      </c>
      <c r="F61" t="inlineStr">
        <is>
          <t>uncommon</t>
        </is>
      </c>
      <c r="G61" t="inlineStr">
        <is>
          <t>non</t>
        </is>
      </c>
      <c r="H61" t="n">
        <v>0</v>
      </c>
      <c r="I61" t="n">
        <v>0</v>
      </c>
      <c r="J61" t="n">
        <v>81</v>
      </c>
      <c r="K61" t="n">
        <v>0</v>
      </c>
      <c r="L61" t="n">
        <v>0</v>
      </c>
      <c r="M61" t="n">
        <v>0</v>
      </c>
      <c r="N61" t="n">
        <v>0</v>
      </c>
      <c r="O61" t="n">
        <v>6</v>
      </c>
      <c r="P61" s="6">
        <f>ROUND((('⚙️ Calibrage'!$B$2+H61)*(1+(('⚙️ Calibrage'!$B$5+K61)/100)*MAX(0,('⚙️ Calibrage'!$B$6+L61)-100)/100)*(1+('⚙️ Calibrage'!$B$8+N61)/100))*((('⚙️ Calibrage'!$B$4+J61)+('⚙️ Calibrage'!$B$3+I61)*'⚙️ Calibrage'!$B$9)/MAX(0.01,1-('⚙️ Calibrage'!$B$7+M61)/100))/'⚙️ Calibrage'!$B$10-'⚙️ Calibrage'!$B$11,1)</f>
        <v/>
      </c>
      <c r="Q61" t="n">
        <v>18</v>
      </c>
      <c r="R61" t="inlineStr">
        <is>
          <t>Pièce de la panoplie slime — bonus de set actif dès 2 pièces.</t>
        </is>
      </c>
    </row>
    <row r="62">
      <c r="A62" s="5" t="inlineStr">
        <is>
          <t>slime_plastron_plus</t>
        </is>
      </c>
      <c r="B62" s="5" t="inlineStr">
        <is>
          <t>Plastron de slime +</t>
        </is>
      </c>
      <c r="C62" s="5" t="inlineStr">
        <is>
          <t>Plastron</t>
        </is>
      </c>
      <c r="D62" s="5" t="inlineStr">
        <is>
          <t>plastron</t>
        </is>
      </c>
      <c r="E62" s="5" t="inlineStr">
        <is>
          <t>slime_plus</t>
        </is>
      </c>
      <c r="F62" s="5" t="inlineStr">
        <is>
          <t>rare</t>
        </is>
      </c>
      <c r="G62" s="5" t="inlineStr">
        <is>
          <t>non</t>
        </is>
      </c>
      <c r="H62" s="5" t="n">
        <v>0</v>
      </c>
      <c r="I62" s="5" t="n">
        <v>0</v>
      </c>
      <c r="J62" s="5" t="n">
        <v>122</v>
      </c>
      <c r="K62" s="5" t="n">
        <v>0</v>
      </c>
      <c r="L62" s="5" t="n">
        <v>0</v>
      </c>
      <c r="M62" s="5" t="n">
        <v>0</v>
      </c>
      <c r="N62" s="5" t="n">
        <v>0</v>
      </c>
      <c r="O62" s="5" t="n">
        <v>9</v>
      </c>
      <c r="P62" s="6">
        <f>ROUND((('⚙️ Calibrage'!$B$2+H62)*(1+(('⚙️ Calibrage'!$B$5+K62)/100)*MAX(0,('⚙️ Calibrage'!$B$6+L62)-100)/100)*(1+('⚙️ Calibrage'!$B$8+N62)/100))*((('⚙️ Calibrage'!$B$4+J62)+('⚙️ Calibrage'!$B$3+I62)*'⚙️ Calibrage'!$B$9)/MAX(0.01,1-('⚙️ Calibrage'!$B$7+M62)/100))/'⚙️ Calibrage'!$B$10-'⚙️ Calibrage'!$B$11,1)</f>
        <v/>
      </c>
      <c r="Q62" s="5" t="n">
        <v>18</v>
      </c>
      <c r="R62" s="5" t="inlineStr">
        <is>
          <t>Pièce de la panoplie slime — bonus de set actif dès 2 pièces. — version infusée (améliorée).</t>
        </is>
      </c>
    </row>
    <row r="63">
      <c r="A63" t="inlineStr">
        <is>
          <t>gobelin_jambieres</t>
        </is>
      </c>
      <c r="B63" t="inlineStr">
        <is>
          <t>Jambières gobelin</t>
        </is>
      </c>
      <c r="C63" t="inlineStr">
        <is>
          <t>Jambières</t>
        </is>
      </c>
      <c r="D63" t="inlineStr">
        <is>
          <t>jambieres</t>
        </is>
      </c>
      <c r="E63" t="inlineStr">
        <is>
          <t>gobelin</t>
        </is>
      </c>
      <c r="F63" t="inlineStr">
        <is>
          <t>uncommon</t>
        </is>
      </c>
      <c r="G63" t="inlineStr">
        <is>
          <t>non</t>
        </is>
      </c>
      <c r="H63" t="n">
        <v>7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s="6">
        <f>ROUND((('⚙️ Calibrage'!$B$2+H63)*(1+(('⚙️ Calibrage'!$B$5+K63)/100)*MAX(0,('⚙️ Calibrage'!$B$6+L63)-100)/100)*(1+('⚙️ Calibrage'!$B$8+N63)/100))*((('⚙️ Calibrage'!$B$4+J63)+('⚙️ Calibrage'!$B$3+I63)*'⚙️ Calibrage'!$B$9)/MAX(0.01,1-('⚙️ Calibrage'!$B$7+M63)/100))/'⚙️ Calibrage'!$B$10-'⚙️ Calibrage'!$B$11,1)</f>
        <v/>
      </c>
      <c r="Q63" t="n">
        <v>21</v>
      </c>
      <c r="R63" t="inlineStr">
        <is>
          <t>Pièce de la panoplie gobelin — bonus de set actif dès 2 pièces.</t>
        </is>
      </c>
    </row>
    <row r="64">
      <c r="A64" s="5" t="inlineStr">
        <is>
          <t>gobelin_jambieres_plus</t>
        </is>
      </c>
      <c r="B64" s="5" t="inlineStr">
        <is>
          <t>Jambières gobelin +</t>
        </is>
      </c>
      <c r="C64" s="5" t="inlineStr">
        <is>
          <t>Jambières</t>
        </is>
      </c>
      <c r="D64" s="5" t="inlineStr">
        <is>
          <t>jambieres</t>
        </is>
      </c>
      <c r="E64" s="5" t="inlineStr">
        <is>
          <t>gobelin_plus</t>
        </is>
      </c>
      <c r="F64" s="5" t="inlineStr">
        <is>
          <t>rare</t>
        </is>
      </c>
      <c r="G64" s="5" t="inlineStr">
        <is>
          <t>non</t>
        </is>
      </c>
      <c r="H64" s="5" t="n">
        <v>11</v>
      </c>
      <c r="I64" s="5" t="n">
        <v>0</v>
      </c>
      <c r="J64" s="5" t="n">
        <v>0</v>
      </c>
      <c r="K64" s="5" t="n">
        <v>0</v>
      </c>
      <c r="L64" s="5" t="n">
        <v>0</v>
      </c>
      <c r="M64" s="5" t="n">
        <v>0</v>
      </c>
      <c r="N64" s="5" t="n">
        <v>0</v>
      </c>
      <c r="O64" s="5" t="n">
        <v>0</v>
      </c>
      <c r="P64" s="6">
        <f>ROUND((('⚙️ Calibrage'!$B$2+H64)*(1+(('⚙️ Calibrage'!$B$5+K64)/100)*MAX(0,('⚙️ Calibrage'!$B$6+L64)-100)/100)*(1+('⚙️ Calibrage'!$B$8+N64)/100))*((('⚙️ Calibrage'!$B$4+J64)+('⚙️ Calibrage'!$B$3+I64)*'⚙️ Calibrage'!$B$9)/MAX(0.01,1-('⚙️ Calibrage'!$B$7+M64)/100))/'⚙️ Calibrage'!$B$10-'⚙️ Calibrage'!$B$11,1)</f>
        <v/>
      </c>
      <c r="Q64" s="5" t="n">
        <v>21</v>
      </c>
      <c r="R64" s="5" t="inlineStr">
        <is>
          <t>Pièce de la panoplie gobelin — bonus de set actif dès 2 pièces. — version infusée (améliorée).</t>
        </is>
      </c>
    </row>
    <row r="65">
      <c r="A65" t="inlineStr">
        <is>
          <t>iron_legs</t>
        </is>
      </c>
      <c r="B65" t="inlineStr">
        <is>
          <t>Jambières de fer</t>
        </is>
      </c>
      <c r="C65" t="inlineStr">
        <is>
          <t>Jambières</t>
        </is>
      </c>
      <c r="D65" t="inlineStr">
        <is>
          <t>jambieres</t>
        </is>
      </c>
      <c r="E65" t="inlineStr">
        <is>
          <t>iron</t>
        </is>
      </c>
      <c r="F65" t="inlineStr">
        <is>
          <t>uncommon</t>
        </is>
      </c>
      <c r="G65" t="inlineStr">
        <is>
          <t>non</t>
        </is>
      </c>
      <c r="H65" t="n">
        <v>0</v>
      </c>
      <c r="I65" t="n">
        <v>0</v>
      </c>
      <c r="J65" t="n">
        <v>61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s="6">
        <f>ROUND((('⚙️ Calibrage'!$B$2+H65)*(1+(('⚙️ Calibrage'!$B$5+K65)/100)*MAX(0,('⚙️ Calibrage'!$B$6+L65)-100)/100)*(1+('⚙️ Calibrage'!$B$8+N65)/100))*((('⚙️ Calibrage'!$B$4+J65)+('⚙️ Calibrage'!$B$3+I65)*'⚙️ Calibrage'!$B$9)/MAX(0.01,1-('⚙️ Calibrage'!$B$7+M65)/100))/'⚙️ Calibrage'!$B$10-'⚙️ Calibrage'!$B$11,1)</f>
        <v/>
      </c>
      <c r="Q65" t="n">
        <v>0</v>
      </c>
      <c r="R65" t="inlineStr">
        <is>
          <t>Jambières lourdes qui sacrifient la vitesse pour la défense.</t>
        </is>
      </c>
    </row>
    <row r="66">
      <c r="A66" s="5" t="inlineStr">
        <is>
          <t>leather_legs</t>
        </is>
      </c>
      <c r="B66" s="5" t="inlineStr">
        <is>
          <t>Jambières en cuir</t>
        </is>
      </c>
      <c r="C66" s="5" t="inlineStr">
        <is>
          <t>Jambières</t>
        </is>
      </c>
      <c r="D66" s="5" t="inlineStr">
        <is>
          <t>jambieres</t>
        </is>
      </c>
      <c r="E66" s="5" t="inlineStr">
        <is>
          <t>leather</t>
        </is>
      </c>
      <c r="F66" s="5" t="inlineStr">
        <is>
          <t>common</t>
        </is>
      </c>
      <c r="G66" s="5" t="inlineStr">
        <is>
          <t>non</t>
        </is>
      </c>
      <c r="H66" s="5" t="n">
        <v>0</v>
      </c>
      <c r="I66" s="5" t="n">
        <v>0</v>
      </c>
      <c r="J66" s="5" t="n">
        <v>30</v>
      </c>
      <c r="K66" s="5" t="n">
        <v>0</v>
      </c>
      <c r="L66" s="5" t="n">
        <v>0</v>
      </c>
      <c r="M66" s="5" t="n">
        <v>7</v>
      </c>
      <c r="N66" s="5" t="n">
        <v>0</v>
      </c>
      <c r="O66" s="5" t="n">
        <v>0</v>
      </c>
      <c r="P66" s="6">
        <f>ROUND((('⚙️ Calibrage'!$B$2+H66)*(1+(('⚙️ Calibrage'!$B$5+K66)/100)*MAX(0,('⚙️ Calibrage'!$B$6+L66)-100)/100)*(1+('⚙️ Calibrage'!$B$8+N66)/100))*((('⚙️ Calibrage'!$B$4+J66)+('⚙️ Calibrage'!$B$3+I66)*'⚙️ Calibrage'!$B$9)/MAX(0.01,1-('⚙️ Calibrage'!$B$7+M66)/100))/'⚙️ Calibrage'!$B$10-'⚙️ Calibrage'!$B$11,1)</f>
        <v/>
      </c>
      <c r="Q66" s="5" t="n">
        <v>0</v>
      </c>
      <c r="R66" s="5" t="inlineStr">
        <is>
          <t>Jambières souples qui protègent les jambes.</t>
        </is>
      </c>
    </row>
    <row r="67">
      <c r="A67" t="inlineStr">
        <is>
          <t>linen_jambieres</t>
        </is>
      </c>
      <c r="B67" t="inlineStr">
        <is>
          <t>Jambières en lin</t>
        </is>
      </c>
      <c r="C67" t="inlineStr">
        <is>
          <t>Jambières</t>
        </is>
      </c>
      <c r="D67" t="inlineStr">
        <is>
          <t>jambieres</t>
        </is>
      </c>
      <c r="E67" t="inlineStr">
        <is>
          <t>linen</t>
        </is>
      </c>
      <c r="F67" t="inlineStr">
        <is>
          <t>common</t>
        </is>
      </c>
      <c r="G67" t="inlineStr">
        <is>
          <t>non</t>
        </is>
      </c>
      <c r="H67" t="n">
        <v>0</v>
      </c>
      <c r="I67" t="n">
        <v>0</v>
      </c>
      <c r="J67" t="n">
        <v>0</v>
      </c>
      <c r="K67" t="n">
        <v>6</v>
      </c>
      <c r="L67" t="n">
        <v>12</v>
      </c>
      <c r="M67" t="n">
        <v>0</v>
      </c>
      <c r="N67" t="n">
        <v>0</v>
      </c>
      <c r="O67" t="n">
        <v>0</v>
      </c>
      <c r="P67" s="6">
        <f>ROUND((('⚙️ Calibrage'!$B$2+H67)*(1+(('⚙️ Calibrage'!$B$5+K67)/100)*MAX(0,('⚙️ Calibrage'!$B$6+L67)-100)/100)*(1+('⚙️ Calibrage'!$B$8+N67)/100))*((('⚙️ Calibrage'!$B$4+J67)+('⚙️ Calibrage'!$B$3+I67)*'⚙️ Calibrage'!$B$9)/MAX(0.01,1-('⚙️ Calibrage'!$B$7+M67)/100))/'⚙️ Calibrage'!$B$10-'⚙️ Calibrage'!$B$11,1)</f>
        <v/>
      </c>
      <c r="Q67" t="n">
        <v>12</v>
      </c>
      <c r="R67" t="inlineStr">
        <is>
          <t>Pièce de la panoplie linen — bonus de set actif dès 2 pièces.</t>
        </is>
      </c>
    </row>
    <row r="68">
      <c r="A68" s="5" t="inlineStr">
        <is>
          <t>slime_jambieres</t>
        </is>
      </c>
      <c r="B68" s="5" t="inlineStr">
        <is>
          <t>Jambières de slime</t>
        </is>
      </c>
      <c r="C68" s="5" t="inlineStr">
        <is>
          <t>Jambières</t>
        </is>
      </c>
      <c r="D68" s="5" t="inlineStr">
        <is>
          <t>jambieres</t>
        </is>
      </c>
      <c r="E68" s="5" t="inlineStr">
        <is>
          <t>slime</t>
        </is>
      </c>
      <c r="F68" s="5" t="inlineStr">
        <is>
          <t>uncommon</t>
        </is>
      </c>
      <c r="G68" s="5" t="inlineStr">
        <is>
          <t>non</t>
        </is>
      </c>
      <c r="H68" s="5" t="n">
        <v>0</v>
      </c>
      <c r="I68" s="5" t="n">
        <v>0</v>
      </c>
      <c r="J68" s="5" t="n">
        <v>81</v>
      </c>
      <c r="K68" s="5" t="n">
        <v>0</v>
      </c>
      <c r="L68" s="5" t="n">
        <v>0</v>
      </c>
      <c r="M68" s="5" t="n">
        <v>0</v>
      </c>
      <c r="N68" s="5" t="n">
        <v>0</v>
      </c>
      <c r="O68" s="5" t="n">
        <v>6</v>
      </c>
      <c r="P68" s="6">
        <f>ROUND((('⚙️ Calibrage'!$B$2+H68)*(1+(('⚙️ Calibrage'!$B$5+K68)/100)*MAX(0,('⚙️ Calibrage'!$B$6+L68)-100)/100)*(1+('⚙️ Calibrage'!$B$8+N68)/100))*((('⚙️ Calibrage'!$B$4+J68)+('⚙️ Calibrage'!$B$3+I68)*'⚙️ Calibrage'!$B$9)/MAX(0.01,1-('⚙️ Calibrage'!$B$7+M68)/100))/'⚙️ Calibrage'!$B$10-'⚙️ Calibrage'!$B$11,1)</f>
        <v/>
      </c>
      <c r="Q68" s="5" t="n">
        <v>18</v>
      </c>
      <c r="R68" s="5" t="inlineStr">
        <is>
          <t>Pièce de la panoplie slime — bonus de set actif dès 2 pièces.</t>
        </is>
      </c>
    </row>
    <row r="69">
      <c r="A69" t="inlineStr">
        <is>
          <t>slime_jambieres_plus</t>
        </is>
      </c>
      <c r="B69" t="inlineStr">
        <is>
          <t>Jambières de slime +</t>
        </is>
      </c>
      <c r="C69" t="inlineStr">
        <is>
          <t>Jambières</t>
        </is>
      </c>
      <c r="D69" t="inlineStr">
        <is>
          <t>jambieres</t>
        </is>
      </c>
      <c r="E69" t="inlineStr">
        <is>
          <t>slime_plus</t>
        </is>
      </c>
      <c r="F69" t="inlineStr">
        <is>
          <t>rare</t>
        </is>
      </c>
      <c r="G69" t="inlineStr">
        <is>
          <t>non</t>
        </is>
      </c>
      <c r="H69" t="n">
        <v>0</v>
      </c>
      <c r="I69" t="n">
        <v>0</v>
      </c>
      <c r="J69" t="n">
        <v>122</v>
      </c>
      <c r="K69" t="n">
        <v>0</v>
      </c>
      <c r="L69" t="n">
        <v>0</v>
      </c>
      <c r="M69" t="n">
        <v>0</v>
      </c>
      <c r="N69" t="n">
        <v>0</v>
      </c>
      <c r="O69" t="n">
        <v>9</v>
      </c>
      <c r="P69" s="6">
        <f>ROUND((('⚙️ Calibrage'!$B$2+H69)*(1+(('⚙️ Calibrage'!$B$5+K69)/100)*MAX(0,('⚙️ Calibrage'!$B$6+L69)-100)/100)*(1+('⚙️ Calibrage'!$B$8+N69)/100))*((('⚙️ Calibrage'!$B$4+J69)+('⚙️ Calibrage'!$B$3+I69)*'⚙️ Calibrage'!$B$9)/MAX(0.01,1-('⚙️ Calibrage'!$B$7+M69)/100))/'⚙️ Calibrage'!$B$10-'⚙️ Calibrage'!$B$11,1)</f>
        <v/>
      </c>
      <c r="Q69" t="n">
        <v>18</v>
      </c>
      <c r="R69" t="inlineStr">
        <is>
          <t>Pièce de la panoplie slime — bonus de set actif dès 2 pièces. — version infusée (améliorée).</t>
        </is>
      </c>
    </row>
    <row r="70">
      <c r="A70" s="5" t="inlineStr">
        <is>
          <t>gobelin_bottes</t>
        </is>
      </c>
      <c r="B70" s="5" t="inlineStr">
        <is>
          <t>Bottes gobelin</t>
        </is>
      </c>
      <c r="C70" s="5" t="inlineStr">
        <is>
          <t>Bottes</t>
        </is>
      </c>
      <c r="D70" s="5" t="inlineStr">
        <is>
          <t>bottes</t>
        </is>
      </c>
      <c r="E70" s="5" t="inlineStr">
        <is>
          <t>gobelin</t>
        </is>
      </c>
      <c r="F70" s="5" t="inlineStr">
        <is>
          <t>uncommon</t>
        </is>
      </c>
      <c r="G70" s="5" t="inlineStr">
        <is>
          <t>non</t>
        </is>
      </c>
      <c r="H70" s="5" t="n">
        <v>0</v>
      </c>
      <c r="I70" s="5" t="n">
        <v>0</v>
      </c>
      <c r="J70" s="5" t="n">
        <v>0</v>
      </c>
      <c r="K70" s="5" t="n">
        <v>7</v>
      </c>
      <c r="L70" s="5" t="n">
        <v>0</v>
      </c>
      <c r="M70" s="5" t="n">
        <v>0</v>
      </c>
      <c r="N70" s="5" t="n">
        <v>0</v>
      </c>
      <c r="O70" s="5" t="n">
        <v>0</v>
      </c>
      <c r="P70" s="6">
        <f>ROUND((('⚙️ Calibrage'!$B$2+H70)*(1+(('⚙️ Calibrage'!$B$5+K70)/100)*MAX(0,('⚙️ Calibrage'!$B$6+L70)-100)/100)*(1+('⚙️ Calibrage'!$B$8+N70)/100))*((('⚙️ Calibrage'!$B$4+J70)+('⚙️ Calibrage'!$B$3+I70)*'⚙️ Calibrage'!$B$9)/MAX(0.01,1-('⚙️ Calibrage'!$B$7+M70)/100))/'⚙️ Calibrage'!$B$10-'⚙️ Calibrage'!$B$11,1)</f>
        <v/>
      </c>
      <c r="Q70" s="5" t="n">
        <v>21</v>
      </c>
      <c r="R70" s="5" t="inlineStr">
        <is>
          <t>Pièce de la panoplie gobelin — bonus de set actif dès 2 pièces.</t>
        </is>
      </c>
    </row>
    <row r="71">
      <c r="A71" t="inlineStr">
        <is>
          <t>gobelin_bottes_plus</t>
        </is>
      </c>
      <c r="B71" t="inlineStr">
        <is>
          <t>Bottes gobelin +</t>
        </is>
      </c>
      <c r="C71" t="inlineStr">
        <is>
          <t>Bottes</t>
        </is>
      </c>
      <c r="D71" t="inlineStr">
        <is>
          <t>bottes</t>
        </is>
      </c>
      <c r="E71" t="inlineStr">
        <is>
          <t>gobelin_plus</t>
        </is>
      </c>
      <c r="F71" t="inlineStr">
        <is>
          <t>rare</t>
        </is>
      </c>
      <c r="G71" t="inlineStr">
        <is>
          <t>non</t>
        </is>
      </c>
      <c r="H71" t="n">
        <v>0</v>
      </c>
      <c r="I71" t="n">
        <v>0</v>
      </c>
      <c r="J71" t="n">
        <v>0</v>
      </c>
      <c r="K71" t="n">
        <v>11</v>
      </c>
      <c r="L71" t="n">
        <v>0</v>
      </c>
      <c r="M71" t="n">
        <v>0</v>
      </c>
      <c r="N71" t="n">
        <v>0</v>
      </c>
      <c r="O71" t="n">
        <v>0</v>
      </c>
      <c r="P71" s="6">
        <f>ROUND((('⚙️ Calibrage'!$B$2+H71)*(1+(('⚙️ Calibrage'!$B$5+K71)/100)*MAX(0,('⚙️ Calibrage'!$B$6+L71)-100)/100)*(1+('⚙️ Calibrage'!$B$8+N71)/100))*((('⚙️ Calibrage'!$B$4+J71)+('⚙️ Calibrage'!$B$3+I71)*'⚙️ Calibrage'!$B$9)/MAX(0.01,1-('⚙️ Calibrage'!$B$7+M71)/100))/'⚙️ Calibrage'!$B$10-'⚙️ Calibrage'!$B$11,1)</f>
        <v/>
      </c>
      <c r="Q71" t="n">
        <v>21</v>
      </c>
      <c r="R71" t="inlineStr">
        <is>
          <t>Pièce de la panoplie gobelin — bonus de set actif dès 2 pièces. — version infusée (améliorée).</t>
        </is>
      </c>
    </row>
    <row r="72">
      <c r="A72" s="5" t="inlineStr">
        <is>
          <t>iron_boots</t>
        </is>
      </c>
      <c r="B72" s="5" t="inlineStr">
        <is>
          <t>Bottes en fer</t>
        </is>
      </c>
      <c r="C72" s="5" t="inlineStr">
        <is>
          <t>Bottes</t>
        </is>
      </c>
      <c r="D72" s="5" t="inlineStr">
        <is>
          <t>bottes</t>
        </is>
      </c>
      <c r="E72" s="5" t="inlineStr">
        <is>
          <t>iron</t>
        </is>
      </c>
      <c r="F72" s="5" t="inlineStr">
        <is>
          <t>uncommon</t>
        </is>
      </c>
      <c r="G72" s="5" t="inlineStr">
        <is>
          <t>non</t>
        </is>
      </c>
      <c r="H72" s="5" t="n">
        <v>0</v>
      </c>
      <c r="I72" s="5" t="n">
        <v>0</v>
      </c>
      <c r="J72" s="5" t="n">
        <v>61</v>
      </c>
      <c r="K72" s="5" t="n">
        <v>0</v>
      </c>
      <c r="L72" s="5" t="n">
        <v>0</v>
      </c>
      <c r="M72" s="5" t="n">
        <v>0</v>
      </c>
      <c r="N72" s="5" t="n">
        <v>0</v>
      </c>
      <c r="O72" s="5" t="n">
        <v>0</v>
      </c>
      <c r="P72" s="6">
        <f>ROUND((('⚙️ Calibrage'!$B$2+H72)*(1+(('⚙️ Calibrage'!$B$5+K72)/100)*MAX(0,('⚙️ Calibrage'!$B$6+L72)-100)/100)*(1+('⚙️ Calibrage'!$B$8+N72)/100))*((('⚙️ Calibrage'!$B$4+J72)+('⚙️ Calibrage'!$B$3+I72)*'⚙️ Calibrage'!$B$9)/MAX(0.01,1-('⚙️ Calibrage'!$B$7+M72)/100))/'⚙️ Calibrage'!$B$10-'⚙️ Calibrage'!$B$11,1)</f>
        <v/>
      </c>
      <c r="Q72" s="5" t="n">
        <v>0</v>
      </c>
      <c r="R72" s="5" t="inlineStr">
        <is>
          <t>Bottes robustes, légèrement encombrantes.</t>
        </is>
      </c>
    </row>
    <row r="73">
      <c r="A73" t="inlineStr">
        <is>
          <t>leather_boots</t>
        </is>
      </c>
      <c r="B73" t="inlineStr">
        <is>
          <t>Bottes en cuir</t>
        </is>
      </c>
      <c r="C73" t="inlineStr">
        <is>
          <t>Bottes</t>
        </is>
      </c>
      <c r="D73" t="inlineStr">
        <is>
          <t>bottes</t>
        </is>
      </c>
      <c r="E73" t="inlineStr">
        <is>
          <t>leather</t>
        </is>
      </c>
      <c r="F73" t="inlineStr">
        <is>
          <t>common</t>
        </is>
      </c>
      <c r="G73" t="inlineStr">
        <is>
          <t>non</t>
        </is>
      </c>
      <c r="H73" t="n">
        <v>0</v>
      </c>
      <c r="I73" t="n">
        <v>0</v>
      </c>
      <c r="J73" t="n">
        <v>31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s="6">
        <f>ROUND((('⚙️ Calibrage'!$B$2+H73)*(1+(('⚙️ Calibrage'!$B$5+K73)/100)*MAX(0,('⚙️ Calibrage'!$B$6+L73)-100)/100)*(1+('⚙️ Calibrage'!$B$8+N73)/100))*((('⚙️ Calibrage'!$B$4+J73)+('⚙️ Calibrage'!$B$3+I73)*'⚙️ Calibrage'!$B$9)/MAX(0.01,1-('⚙️ Calibrage'!$B$7+M73)/100))/'⚙️ Calibrage'!$B$10-'⚙️ Calibrage'!$B$11,1)</f>
        <v/>
      </c>
      <c r="Q73" t="n">
        <v>0</v>
      </c>
      <c r="R73" t="inlineStr">
        <is>
          <t>Bottes souples pour les longues marches.</t>
        </is>
      </c>
    </row>
    <row r="74">
      <c r="A74" s="5" t="inlineStr">
        <is>
          <t>linen_bottes</t>
        </is>
      </c>
      <c r="B74" s="5" t="inlineStr">
        <is>
          <t>Bottes en lin</t>
        </is>
      </c>
      <c r="C74" s="5" t="inlineStr">
        <is>
          <t>Bottes</t>
        </is>
      </c>
      <c r="D74" s="5" t="inlineStr">
        <is>
          <t>bottes</t>
        </is>
      </c>
      <c r="E74" s="5" t="inlineStr">
        <is>
          <t>linen</t>
        </is>
      </c>
      <c r="F74" s="5" t="inlineStr">
        <is>
          <t>common</t>
        </is>
      </c>
      <c r="G74" s="5" t="inlineStr">
        <is>
          <t>non</t>
        </is>
      </c>
      <c r="H74" s="5" t="n">
        <v>0</v>
      </c>
      <c r="I74" s="5" t="n">
        <v>0</v>
      </c>
      <c r="J74" s="5" t="n">
        <v>0</v>
      </c>
      <c r="K74" s="5" t="n">
        <v>6</v>
      </c>
      <c r="L74" s="5" t="n">
        <v>12</v>
      </c>
      <c r="M74" s="5" t="n">
        <v>0</v>
      </c>
      <c r="N74" s="5" t="n">
        <v>0</v>
      </c>
      <c r="O74" s="5" t="n">
        <v>0</v>
      </c>
      <c r="P74" s="6">
        <f>ROUND((('⚙️ Calibrage'!$B$2+H74)*(1+(('⚙️ Calibrage'!$B$5+K74)/100)*MAX(0,('⚙️ Calibrage'!$B$6+L74)-100)/100)*(1+('⚙️ Calibrage'!$B$8+N74)/100))*((('⚙️ Calibrage'!$B$4+J74)+('⚙️ Calibrage'!$B$3+I74)*'⚙️ Calibrage'!$B$9)/MAX(0.01,1-('⚙️ Calibrage'!$B$7+M74)/100))/'⚙️ Calibrage'!$B$10-'⚙️ Calibrage'!$B$11,1)</f>
        <v/>
      </c>
      <c r="Q74" s="5" t="n">
        <v>12</v>
      </c>
      <c r="R74" s="5" t="inlineStr">
        <is>
          <t>Pièce de la panoplie linen — bonus de set actif dès 2 pièces.</t>
        </is>
      </c>
    </row>
    <row r="75">
      <c r="A75" t="inlineStr">
        <is>
          <t>slime_bottes</t>
        </is>
      </c>
      <c r="B75" t="inlineStr">
        <is>
          <t>Bottes de slime</t>
        </is>
      </c>
      <c r="C75" t="inlineStr">
        <is>
          <t>Bottes</t>
        </is>
      </c>
      <c r="D75" t="inlineStr">
        <is>
          <t>bottes</t>
        </is>
      </c>
      <c r="E75" t="inlineStr">
        <is>
          <t>slime</t>
        </is>
      </c>
      <c r="F75" t="inlineStr">
        <is>
          <t>uncommon</t>
        </is>
      </c>
      <c r="G75" t="inlineStr">
        <is>
          <t>non</t>
        </is>
      </c>
      <c r="H75" t="n">
        <v>0</v>
      </c>
      <c r="I75" t="n">
        <v>0</v>
      </c>
      <c r="J75" t="n">
        <v>80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s="6">
        <f>ROUND((('⚙️ Calibrage'!$B$2+H75)*(1+(('⚙️ Calibrage'!$B$5+K75)/100)*MAX(0,('⚙️ Calibrage'!$B$6+L75)-100)/100)*(1+('⚙️ Calibrage'!$B$8+N75)/100))*((('⚙️ Calibrage'!$B$4+J75)+('⚙️ Calibrage'!$B$3+I75)*'⚙️ Calibrage'!$B$9)/MAX(0.01,1-('⚙️ Calibrage'!$B$7+M75)/100))/'⚙️ Calibrage'!$B$10-'⚙️ Calibrage'!$B$11,1)</f>
        <v/>
      </c>
      <c r="Q75" t="n">
        <v>18</v>
      </c>
      <c r="R75" t="inlineStr">
        <is>
          <t>Pièce de la panoplie slime — bonus de set actif dès 2 pièces.</t>
        </is>
      </c>
    </row>
    <row r="76">
      <c r="A76" s="5" t="inlineStr">
        <is>
          <t>slime_bottes_plus</t>
        </is>
      </c>
      <c r="B76" s="5" t="inlineStr">
        <is>
          <t>Bottes de slime +</t>
        </is>
      </c>
      <c r="C76" s="5" t="inlineStr">
        <is>
          <t>Bottes</t>
        </is>
      </c>
      <c r="D76" s="5" t="inlineStr">
        <is>
          <t>bottes</t>
        </is>
      </c>
      <c r="E76" s="5" t="inlineStr">
        <is>
          <t>slime_plus</t>
        </is>
      </c>
      <c r="F76" s="5" t="inlineStr">
        <is>
          <t>rare</t>
        </is>
      </c>
      <c r="G76" s="5" t="inlineStr">
        <is>
          <t>non</t>
        </is>
      </c>
      <c r="H76" s="5" t="n">
        <v>0</v>
      </c>
      <c r="I76" s="5" t="n">
        <v>0</v>
      </c>
      <c r="J76" s="5" t="n">
        <v>120</v>
      </c>
      <c r="K76" s="5" t="n">
        <v>0</v>
      </c>
      <c r="L76" s="5" t="n">
        <v>0</v>
      </c>
      <c r="M76" s="5" t="n">
        <v>0</v>
      </c>
      <c r="N76" s="5" t="n">
        <v>0</v>
      </c>
      <c r="O76" s="5" t="n">
        <v>0</v>
      </c>
      <c r="P76" s="6">
        <f>ROUND((('⚙️ Calibrage'!$B$2+H76)*(1+(('⚙️ Calibrage'!$B$5+K76)/100)*MAX(0,('⚙️ Calibrage'!$B$6+L76)-100)/100)*(1+('⚙️ Calibrage'!$B$8+N76)/100))*((('⚙️ Calibrage'!$B$4+J76)+('⚙️ Calibrage'!$B$3+I76)*'⚙️ Calibrage'!$B$9)/MAX(0.01,1-('⚙️ Calibrage'!$B$7+M76)/100))/'⚙️ Calibrage'!$B$10-'⚙️ Calibrage'!$B$11,1)</f>
        <v/>
      </c>
      <c r="Q76" s="5" t="n">
        <v>18</v>
      </c>
      <c r="R76" s="5" t="inlineStr">
        <is>
          <t>Pièce de la panoplie slime — bonus de set actif dès 2 pièces. — version infusée (améliorée).</t>
        </is>
      </c>
    </row>
    <row r="77">
      <c r="A77" t="inlineStr">
        <is>
          <t>titan_gel_core</t>
        </is>
      </c>
      <c r="B77" t="inlineStr">
        <is>
          <t>Cœur de Gel du Titan</t>
        </is>
      </c>
      <c r="C77" t="inlineStr">
        <is>
          <t>Collier</t>
        </is>
      </c>
      <c r="D77" t="inlineStr">
        <is>
          <t>collier</t>
        </is>
      </c>
      <c r="E77" t="inlineStr">
        <is>
          <t>boss</t>
        </is>
      </c>
      <c r="F77" t="inlineStr">
        <is>
          <t>epic</t>
        </is>
      </c>
      <c r="G77" t="inlineStr">
        <is>
          <t>non</t>
        </is>
      </c>
      <c r="H77" t="n">
        <v>0</v>
      </c>
      <c r="I77" t="n">
        <v>0</v>
      </c>
      <c r="J77" t="n">
        <v>120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s="6">
        <f>ROUND((('⚙️ Calibrage'!$B$2+H77)*(1+(('⚙️ Calibrage'!$B$5+K77)/100)*MAX(0,('⚙️ Calibrage'!$B$6+L77)-100)/100)*(1+('⚙️ Calibrage'!$B$8+N77)/100))*((('⚙️ Calibrage'!$B$4+J77)+('⚙️ Calibrage'!$B$3+I77)*'⚙️ Calibrage'!$B$9)/MAX(0.01,1-('⚙️ Calibrage'!$B$7+M77)/100))/'⚙️ Calibrage'!$B$10-'⚙️ Calibrage'!$B$11,1)</f>
        <v/>
      </c>
      <c r="Q77" t="n">
        <v>0</v>
      </c>
      <c r="R77" t="inlineStr">
        <is>
          <t>Trophée du Titan Visqueux. Régénère le porteur.</t>
        </is>
      </c>
    </row>
    <row r="78">
      <c r="A78" s="5" t="inlineStr">
        <is>
          <t>gobelin_amulet</t>
        </is>
      </c>
      <c r="B78" s="5" t="inlineStr">
        <is>
          <t>Amulette gobeline</t>
        </is>
      </c>
      <c r="C78" s="5" t="inlineStr">
        <is>
          <t>Collier</t>
        </is>
      </c>
      <c r="D78" s="5" t="inlineStr">
        <is>
          <t>collier</t>
        </is>
      </c>
      <c r="E78" s="5" t="inlineStr">
        <is>
          <t>gobelin</t>
        </is>
      </c>
      <c r="F78" s="5" t="inlineStr">
        <is>
          <t>uncommon</t>
        </is>
      </c>
      <c r="G78" s="5" t="inlineStr">
        <is>
          <t>non</t>
        </is>
      </c>
      <c r="H78" s="5" t="n">
        <v>6</v>
      </c>
      <c r="I78" s="5" t="n">
        <v>0</v>
      </c>
      <c r="J78" s="5" t="n">
        <v>0</v>
      </c>
      <c r="K78" s="5" t="n">
        <v>0</v>
      </c>
      <c r="L78" s="5" t="n">
        <v>0</v>
      </c>
      <c r="M78" s="5" t="n">
        <v>0</v>
      </c>
      <c r="N78" s="5" t="n">
        <v>0</v>
      </c>
      <c r="O78" s="5" t="n">
        <v>0</v>
      </c>
      <c r="P78" s="6">
        <f>ROUND((('⚙️ Calibrage'!$B$2+H78)*(1+(('⚙️ Calibrage'!$B$5+K78)/100)*MAX(0,('⚙️ Calibrage'!$B$6+L78)-100)/100)*(1+('⚙️ Calibrage'!$B$8+N78)/100))*((('⚙️ Calibrage'!$B$4+J78)+('⚙️ Calibrage'!$B$3+I78)*'⚙️ Calibrage'!$B$9)/MAX(0.01,1-('⚙️ Calibrage'!$B$7+M78)/100))/'⚙️ Calibrage'!$B$10-'⚙️ Calibrage'!$B$11,1)</f>
        <v/>
      </c>
      <c r="Q78" s="5" t="n">
        <v>0</v>
      </c>
      <c r="R78" s="5" t="inlineStr">
        <is>
          <t>Petits crocs de gobelin enfilés sur une lanière de cuir.</t>
        </is>
      </c>
    </row>
    <row r="79">
      <c r="A79" t="inlineStr">
        <is>
          <t>gobelin_amulet_plus</t>
        </is>
      </c>
      <c r="B79" t="inlineStr">
        <is>
          <t>Amulette gobeline +</t>
        </is>
      </c>
      <c r="C79" t="inlineStr">
        <is>
          <t>Collier</t>
        </is>
      </c>
      <c r="D79" t="inlineStr">
        <is>
          <t>collier</t>
        </is>
      </c>
      <c r="E79" t="inlineStr">
        <is>
          <t>gobelin_plus</t>
        </is>
      </c>
      <c r="F79" t="inlineStr">
        <is>
          <t>rare</t>
        </is>
      </c>
      <c r="G79" t="inlineStr">
        <is>
          <t>non</t>
        </is>
      </c>
      <c r="H79" t="n">
        <v>9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s="6">
        <f>ROUND((('⚙️ Calibrage'!$B$2+H79)*(1+(('⚙️ Calibrage'!$B$5+K79)/100)*MAX(0,('⚙️ Calibrage'!$B$6+L79)-100)/100)*(1+('⚙️ Calibrage'!$B$8+N79)/100))*((('⚙️ Calibrage'!$B$4+J79)+('⚙️ Calibrage'!$B$3+I79)*'⚙️ Calibrage'!$B$9)/MAX(0.01,1-('⚙️ Calibrage'!$B$7+M79)/100))/'⚙️ Calibrage'!$B$10-'⚙️ Calibrage'!$B$11,1)</f>
        <v/>
      </c>
      <c r="Q79" t="n">
        <v>0</v>
      </c>
      <c r="R79" t="inlineStr">
        <is>
          <t>Petits crocs de gobelin enfilés sur une lanière de cuir. — version infusée (améliorée).</t>
        </is>
      </c>
    </row>
    <row r="80">
      <c r="A80" s="5" t="inlineStr">
        <is>
          <t>iron_collier</t>
        </is>
      </c>
      <c r="B80" s="5" t="inlineStr">
        <is>
          <t>Collier en fer</t>
        </is>
      </c>
      <c r="C80" s="5" t="inlineStr">
        <is>
          <t>Collier</t>
        </is>
      </c>
      <c r="D80" s="5" t="inlineStr">
        <is>
          <t>collier</t>
        </is>
      </c>
      <c r="E80" s="5" t="inlineStr">
        <is>
          <t>iron</t>
        </is>
      </c>
      <c r="F80" s="5" t="inlineStr">
        <is>
          <t>uncommon</t>
        </is>
      </c>
      <c r="G80" s="5" t="inlineStr">
        <is>
          <t>non</t>
        </is>
      </c>
      <c r="H80" s="5" t="n">
        <v>0</v>
      </c>
      <c r="I80" s="5" t="n">
        <v>0</v>
      </c>
      <c r="J80" s="5" t="n">
        <v>61</v>
      </c>
      <c r="K80" s="5" t="n">
        <v>0</v>
      </c>
      <c r="L80" s="5" t="n">
        <v>0</v>
      </c>
      <c r="M80" s="5" t="n">
        <v>0</v>
      </c>
      <c r="N80" s="5" t="n">
        <v>0</v>
      </c>
      <c r="O80" s="5" t="n">
        <v>0</v>
      </c>
      <c r="P80" s="6">
        <f>ROUND((('⚙️ Calibrage'!$B$2+H80)*(1+(('⚙️ Calibrage'!$B$5+K80)/100)*MAX(0,('⚙️ Calibrage'!$B$6+L80)-100)/100)*(1+('⚙️ Calibrage'!$B$8+N80)/100))*((('⚙️ Calibrage'!$B$4+J80)+('⚙️ Calibrage'!$B$3+I80)*'⚙️ Calibrage'!$B$9)/MAX(0.01,1-('⚙️ Calibrage'!$B$7+M80)/100))/'⚙️ Calibrage'!$B$10-'⚙️ Calibrage'!$B$11,1)</f>
        <v/>
      </c>
      <c r="Q80" s="5" t="n">
        <v>24</v>
      </c>
      <c r="R80" s="5" t="inlineStr">
        <is>
          <t>Pièce de la panoplie iron — bonus de set actif dès 2 pièces.</t>
        </is>
      </c>
    </row>
    <row r="81">
      <c r="A81" t="inlineStr">
        <is>
          <t>leather_collier</t>
        </is>
      </c>
      <c r="B81" t="inlineStr">
        <is>
          <t>Collier en cuir</t>
        </is>
      </c>
      <c r="C81" t="inlineStr">
        <is>
          <t>Collier</t>
        </is>
      </c>
      <c r="D81" t="inlineStr">
        <is>
          <t>collier</t>
        </is>
      </c>
      <c r="E81" t="inlineStr">
        <is>
          <t>leather</t>
        </is>
      </c>
      <c r="F81" t="inlineStr">
        <is>
          <t>common</t>
        </is>
      </c>
      <c r="G81" t="inlineStr">
        <is>
          <t>non</t>
        </is>
      </c>
      <c r="H81" t="n">
        <v>0</v>
      </c>
      <c r="I81" t="n">
        <v>0</v>
      </c>
      <c r="J81" t="n">
        <v>30</v>
      </c>
      <c r="K81" t="n">
        <v>0</v>
      </c>
      <c r="L81" t="n">
        <v>0</v>
      </c>
      <c r="M81" t="n">
        <v>6</v>
      </c>
      <c r="N81" t="n">
        <v>0</v>
      </c>
      <c r="O81" t="n">
        <v>0</v>
      </c>
      <c r="P81" s="6">
        <f>ROUND((('⚙️ Calibrage'!$B$2+H81)*(1+(('⚙️ Calibrage'!$B$5+K81)/100)*MAX(0,('⚙️ Calibrage'!$B$6+L81)-100)/100)*(1+('⚙️ Calibrage'!$B$8+N81)/100))*((('⚙️ Calibrage'!$B$4+J81)+('⚙️ Calibrage'!$B$3+I81)*'⚙️ Calibrage'!$B$9)/MAX(0.01,1-('⚙️ Calibrage'!$B$7+M81)/100))/'⚙️ Calibrage'!$B$10-'⚙️ Calibrage'!$B$11,1)</f>
        <v/>
      </c>
      <c r="Q81" t="n">
        <v>12</v>
      </c>
      <c r="R81" t="inlineStr">
        <is>
          <t>Pièce de la panoplie leather — bonus de set actif dès 2 pièces.</t>
        </is>
      </c>
    </row>
    <row r="82">
      <c r="A82" s="5" t="inlineStr">
        <is>
          <t>linen_collier</t>
        </is>
      </c>
      <c r="B82" s="5" t="inlineStr">
        <is>
          <t>Collier en lin</t>
        </is>
      </c>
      <c r="C82" s="5" t="inlineStr">
        <is>
          <t>Collier</t>
        </is>
      </c>
      <c r="D82" s="5" t="inlineStr">
        <is>
          <t>collier</t>
        </is>
      </c>
      <c r="E82" s="5" t="inlineStr">
        <is>
          <t>linen</t>
        </is>
      </c>
      <c r="F82" s="5" t="inlineStr">
        <is>
          <t>common</t>
        </is>
      </c>
      <c r="G82" s="5" t="inlineStr">
        <is>
          <t>non</t>
        </is>
      </c>
      <c r="H82" s="5" t="n">
        <v>0</v>
      </c>
      <c r="I82" s="5" t="n">
        <v>0</v>
      </c>
      <c r="J82" s="5" t="n">
        <v>0</v>
      </c>
      <c r="K82" s="5" t="n">
        <v>6</v>
      </c>
      <c r="L82" s="5" t="n">
        <v>12</v>
      </c>
      <c r="M82" s="5" t="n">
        <v>0</v>
      </c>
      <c r="N82" s="5" t="n">
        <v>0</v>
      </c>
      <c r="O82" s="5" t="n">
        <v>0</v>
      </c>
      <c r="P82" s="6">
        <f>ROUND((('⚙️ Calibrage'!$B$2+H82)*(1+(('⚙️ Calibrage'!$B$5+K82)/100)*MAX(0,('⚙️ Calibrage'!$B$6+L82)-100)/100)*(1+('⚙️ Calibrage'!$B$8+N82)/100))*((('⚙️ Calibrage'!$B$4+J82)+('⚙️ Calibrage'!$B$3+I82)*'⚙️ Calibrage'!$B$9)/MAX(0.01,1-('⚙️ Calibrage'!$B$7+M82)/100))/'⚙️ Calibrage'!$B$10-'⚙️ Calibrage'!$B$11,1)</f>
        <v/>
      </c>
      <c r="Q82" s="5" t="n">
        <v>12</v>
      </c>
      <c r="R82" s="5" t="inlineStr">
        <is>
          <t>Pièce de la panoplie linen — bonus de set actif dès 2 pièces.</t>
        </is>
      </c>
    </row>
    <row r="83">
      <c r="A83" t="inlineStr">
        <is>
          <t>slime_pendant</t>
        </is>
      </c>
      <c r="B83" t="inlineStr">
        <is>
          <t>Pendentif de Slime</t>
        </is>
      </c>
      <c r="C83" t="inlineStr">
        <is>
          <t>Collier</t>
        </is>
      </c>
      <c r="D83" t="inlineStr">
        <is>
          <t>collier</t>
        </is>
      </c>
      <c r="E83" t="inlineStr">
        <is>
          <t>slime</t>
        </is>
      </c>
      <c r="F83" t="inlineStr">
        <is>
          <t>uncommon</t>
        </is>
      </c>
      <c r="G83" t="inlineStr">
        <is>
          <t>non</t>
        </is>
      </c>
      <c r="H83" t="n">
        <v>0</v>
      </c>
      <c r="I83" t="n">
        <v>0</v>
      </c>
      <c r="J83" t="n">
        <v>81</v>
      </c>
      <c r="K83" t="n">
        <v>0</v>
      </c>
      <c r="L83" t="n">
        <v>0</v>
      </c>
      <c r="M83" t="n">
        <v>0</v>
      </c>
      <c r="N83" t="n">
        <v>0</v>
      </c>
      <c r="O83" t="n">
        <v>6</v>
      </c>
      <c r="P83" s="6">
        <f>ROUND((('⚙️ Calibrage'!$B$2+H83)*(1+(('⚙️ Calibrage'!$B$5+K83)/100)*MAX(0,('⚙️ Calibrage'!$B$6+L83)-100)/100)*(1+('⚙️ Calibrage'!$B$8+N83)/100))*((('⚙️ Calibrage'!$B$4+J83)+('⚙️ Calibrage'!$B$3+I83)*'⚙️ Calibrage'!$B$9)/MAX(0.01,1-('⚙️ Calibrage'!$B$7+M83)/100))/'⚙️ Calibrage'!$B$10-'⚙️ Calibrage'!$B$11,1)</f>
        <v/>
      </c>
      <c r="Q83" t="n">
        <v>0</v>
      </c>
      <c r="R83" t="inlineStr">
        <is>
          <t>Un collier orné d'une perle gélatineuse.</t>
        </is>
      </c>
    </row>
    <row r="84">
      <c r="A84" s="5" t="inlineStr">
        <is>
          <t>slime_pendant_plus</t>
        </is>
      </c>
      <c r="B84" s="5" t="inlineStr">
        <is>
          <t>Pendentif de Slime +</t>
        </is>
      </c>
      <c r="C84" s="5" t="inlineStr">
        <is>
          <t>Collier</t>
        </is>
      </c>
      <c r="D84" s="5" t="inlineStr">
        <is>
          <t>collier</t>
        </is>
      </c>
      <c r="E84" s="5" t="inlineStr">
        <is>
          <t>slime_plus</t>
        </is>
      </c>
      <c r="F84" s="5" t="inlineStr">
        <is>
          <t>rare</t>
        </is>
      </c>
      <c r="G84" s="5" t="inlineStr">
        <is>
          <t>non</t>
        </is>
      </c>
      <c r="H84" s="5" t="n">
        <v>0</v>
      </c>
      <c r="I84" s="5" t="n">
        <v>0</v>
      </c>
      <c r="J84" s="5" t="n">
        <v>122</v>
      </c>
      <c r="K84" s="5" t="n">
        <v>0</v>
      </c>
      <c r="L84" s="5" t="n">
        <v>0</v>
      </c>
      <c r="M84" s="5" t="n">
        <v>0</v>
      </c>
      <c r="N84" s="5" t="n">
        <v>0</v>
      </c>
      <c r="O84" s="5" t="n">
        <v>9</v>
      </c>
      <c r="P84" s="6">
        <f>ROUND((('⚙️ Calibrage'!$B$2+H84)*(1+(('⚙️ Calibrage'!$B$5+K84)/100)*MAX(0,('⚙️ Calibrage'!$B$6+L84)-100)/100)*(1+('⚙️ Calibrage'!$B$8+N84)/100))*((('⚙️ Calibrage'!$B$4+J84)+('⚙️ Calibrage'!$B$3+I84)*'⚙️ Calibrage'!$B$9)/MAX(0.01,1-('⚙️ Calibrage'!$B$7+M84)/100))/'⚙️ Calibrage'!$B$10-'⚙️ Calibrage'!$B$11,1)</f>
        <v/>
      </c>
      <c r="Q84" s="5" t="n">
        <v>0</v>
      </c>
      <c r="R84" s="5" t="inlineStr">
        <is>
          <t>Un collier orné d'une perle gélatineuse. — version infusée (améliorée).</t>
        </is>
      </c>
    </row>
    <row r="85">
      <c r="A85" t="inlineStr">
        <is>
          <t>gobelin_bracelet</t>
        </is>
      </c>
      <c r="B85" t="inlineStr">
        <is>
          <t>Bracelet gobelin</t>
        </is>
      </c>
      <c r="C85" t="inlineStr">
        <is>
          <t>Bracelet</t>
        </is>
      </c>
      <c r="D85" t="inlineStr">
        <is>
          <t>bracelet</t>
        </is>
      </c>
      <c r="E85" t="inlineStr">
        <is>
          <t>gobelin</t>
        </is>
      </c>
      <c r="F85" t="inlineStr">
        <is>
          <t>uncommon</t>
        </is>
      </c>
      <c r="G85" t="inlineStr">
        <is>
          <t>non</t>
        </is>
      </c>
      <c r="H85" t="n">
        <v>0</v>
      </c>
      <c r="I85" t="n">
        <v>0</v>
      </c>
      <c r="J85" t="n">
        <v>0</v>
      </c>
      <c r="K85" t="n">
        <v>0</v>
      </c>
      <c r="L85" t="n">
        <v>7</v>
      </c>
      <c r="M85" t="n">
        <v>0</v>
      </c>
      <c r="N85" t="n">
        <v>0</v>
      </c>
      <c r="O85" t="n">
        <v>0</v>
      </c>
      <c r="P85" s="6">
        <f>ROUND((('⚙️ Calibrage'!$B$2+H85)*(1+(('⚙️ Calibrage'!$B$5+K85)/100)*MAX(0,('⚙️ Calibrage'!$B$6+L85)-100)/100)*(1+('⚙️ Calibrage'!$B$8+N85)/100))*((('⚙️ Calibrage'!$B$4+J85)+('⚙️ Calibrage'!$B$3+I85)*'⚙️ Calibrage'!$B$9)/MAX(0.01,1-('⚙️ Calibrage'!$B$7+M85)/100))/'⚙️ Calibrage'!$B$10-'⚙️ Calibrage'!$B$11,1)</f>
        <v/>
      </c>
      <c r="Q85" t="n">
        <v>21</v>
      </c>
      <c r="R85" t="inlineStr">
        <is>
          <t>Pièce de la panoplie gobelin — bonus de set actif dès 2 pièces.</t>
        </is>
      </c>
    </row>
    <row r="86">
      <c r="A86" s="5" t="inlineStr">
        <is>
          <t>gobelin_bracelet_plus</t>
        </is>
      </c>
      <c r="B86" s="5" t="inlineStr">
        <is>
          <t>Bracelet gobelin +</t>
        </is>
      </c>
      <c r="C86" s="5" t="inlineStr">
        <is>
          <t>Bracelet</t>
        </is>
      </c>
      <c r="D86" s="5" t="inlineStr">
        <is>
          <t>bracelet</t>
        </is>
      </c>
      <c r="E86" s="5" t="inlineStr">
        <is>
          <t>gobelin_plus</t>
        </is>
      </c>
      <c r="F86" s="5" t="inlineStr">
        <is>
          <t>rare</t>
        </is>
      </c>
      <c r="G86" s="5" t="inlineStr">
        <is>
          <t>non</t>
        </is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11</v>
      </c>
      <c r="M86" s="5" t="n">
        <v>0</v>
      </c>
      <c r="N86" s="5" t="n">
        <v>0</v>
      </c>
      <c r="O86" s="5" t="n">
        <v>0</v>
      </c>
      <c r="P86" s="6">
        <f>ROUND((('⚙️ Calibrage'!$B$2+H86)*(1+(('⚙️ Calibrage'!$B$5+K86)/100)*MAX(0,('⚙️ Calibrage'!$B$6+L86)-100)/100)*(1+('⚙️ Calibrage'!$B$8+N86)/100))*((('⚙️ Calibrage'!$B$4+J86)+('⚙️ Calibrage'!$B$3+I86)*'⚙️ Calibrage'!$B$9)/MAX(0.01,1-('⚙️ Calibrage'!$B$7+M86)/100))/'⚙️ Calibrage'!$B$10-'⚙️ Calibrage'!$B$11,1)</f>
        <v/>
      </c>
      <c r="Q86" s="5" t="n">
        <v>21</v>
      </c>
      <c r="R86" s="5" t="inlineStr">
        <is>
          <t>Pièce de la panoplie gobelin — bonus de set actif dès 2 pièces. — version infusée (améliorée).</t>
        </is>
      </c>
    </row>
    <row r="87">
      <c r="A87" t="inlineStr">
        <is>
          <t>iron_gauntlets</t>
        </is>
      </c>
      <c r="B87" t="inlineStr">
        <is>
          <t>Gantelets en fer</t>
        </is>
      </c>
      <c r="C87" t="inlineStr">
        <is>
          <t>Bracelet</t>
        </is>
      </c>
      <c r="D87" t="inlineStr">
        <is>
          <t>bracelet</t>
        </is>
      </c>
      <c r="E87" t="inlineStr">
        <is>
          <t>iron</t>
        </is>
      </c>
      <c r="F87" t="inlineStr">
        <is>
          <t>uncommon</t>
        </is>
      </c>
      <c r="G87" t="inlineStr">
        <is>
          <t>non</t>
        </is>
      </c>
      <c r="H87" t="n">
        <v>0</v>
      </c>
      <c r="I87" t="n">
        <v>0</v>
      </c>
      <c r="J87" t="n">
        <v>61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s="6">
        <f>ROUND((('⚙️ Calibrage'!$B$2+H87)*(1+(('⚙️ Calibrage'!$B$5+K87)/100)*MAX(0,('⚙️ Calibrage'!$B$6+L87)-100)/100)*(1+('⚙️ Calibrage'!$B$8+N87)/100))*((('⚙️ Calibrage'!$B$4+J87)+('⚙️ Calibrage'!$B$3+I87)*'⚙️ Calibrage'!$B$9)/MAX(0.01,1-('⚙️ Calibrage'!$B$7+M87)/100))/'⚙️ Calibrage'!$B$10-'⚙️ Calibrage'!$B$11,1)</f>
        <v/>
      </c>
      <c r="Q87" t="n">
        <v>0</v>
      </c>
      <c r="R87" t="inlineStr">
        <is>
          <t>Gantelets articulés, légèrement encombrants mais robustes.</t>
        </is>
      </c>
    </row>
    <row r="88">
      <c r="A88" s="5" t="inlineStr">
        <is>
          <t>leather_bracelet</t>
        </is>
      </c>
      <c r="B88" s="5" t="inlineStr">
        <is>
          <t>Bracelet en cuir</t>
        </is>
      </c>
      <c r="C88" s="5" t="inlineStr">
        <is>
          <t>Bracelet</t>
        </is>
      </c>
      <c r="D88" s="5" t="inlineStr">
        <is>
          <t>bracelet</t>
        </is>
      </c>
      <c r="E88" s="5" t="inlineStr">
        <is>
          <t>leather</t>
        </is>
      </c>
      <c r="F88" s="5" t="inlineStr">
        <is>
          <t>common</t>
        </is>
      </c>
      <c r="G88" s="5" t="inlineStr">
        <is>
          <t>non</t>
        </is>
      </c>
      <c r="H88" s="5" t="n">
        <v>0</v>
      </c>
      <c r="I88" s="5" t="n">
        <v>0</v>
      </c>
      <c r="J88" s="5" t="n">
        <v>31</v>
      </c>
      <c r="K88" s="5" t="n">
        <v>0</v>
      </c>
      <c r="L88" s="5" t="n">
        <v>0</v>
      </c>
      <c r="M88" s="5" t="n">
        <v>0</v>
      </c>
      <c r="N88" s="5" t="n">
        <v>0</v>
      </c>
      <c r="O88" s="5" t="n">
        <v>0</v>
      </c>
      <c r="P88" s="6">
        <f>ROUND((('⚙️ Calibrage'!$B$2+H88)*(1+(('⚙️ Calibrage'!$B$5+K88)/100)*MAX(0,('⚙️ Calibrage'!$B$6+L88)-100)/100)*(1+('⚙️ Calibrage'!$B$8+N88)/100))*((('⚙️ Calibrage'!$B$4+J88)+('⚙️ Calibrage'!$B$3+I88)*'⚙️ Calibrage'!$B$9)/MAX(0.01,1-('⚙️ Calibrage'!$B$7+M88)/100))/'⚙️ Calibrage'!$B$10-'⚙️ Calibrage'!$B$11,1)</f>
        <v/>
      </c>
      <c r="Q88" s="5" t="n">
        <v>0</v>
      </c>
      <c r="R88" s="5" t="inlineStr">
        <is>
          <t>Un bracelet simple qui assouplit les mouvements.</t>
        </is>
      </c>
    </row>
    <row r="89">
      <c r="A89" t="inlineStr">
        <is>
          <t>linen_gloves</t>
        </is>
      </c>
      <c r="B89" t="inlineStr">
        <is>
          <t>Mitaines en lin</t>
        </is>
      </c>
      <c r="C89" t="inlineStr">
        <is>
          <t>Bracelet</t>
        </is>
      </c>
      <c r="D89" t="inlineStr">
        <is>
          <t>bracelet</t>
        </is>
      </c>
      <c r="E89" t="inlineStr">
        <is>
          <t>linen</t>
        </is>
      </c>
      <c r="F89" t="inlineStr">
        <is>
          <t>common</t>
        </is>
      </c>
      <c r="G89" t="inlineStr">
        <is>
          <t>non</t>
        </is>
      </c>
      <c r="H89" t="n">
        <v>11</v>
      </c>
      <c r="I89" t="n">
        <v>0</v>
      </c>
      <c r="J89" t="n">
        <v>0</v>
      </c>
      <c r="K89" t="n">
        <v>0</v>
      </c>
      <c r="L89" t="n">
        <v>12</v>
      </c>
      <c r="M89" t="n">
        <v>0</v>
      </c>
      <c r="N89" t="n">
        <v>0</v>
      </c>
      <c r="O89" t="n">
        <v>0</v>
      </c>
      <c r="P89" s="6">
        <f>ROUND((('⚙️ Calibrage'!$B$2+H89)*(1+(('⚙️ Calibrage'!$B$5+K89)/100)*MAX(0,('⚙️ Calibrage'!$B$6+L89)-100)/100)*(1+('⚙️ Calibrage'!$B$8+N89)/100))*((('⚙️ Calibrage'!$B$4+J89)+('⚙️ Calibrage'!$B$3+I89)*'⚙️ Calibrage'!$B$9)/MAX(0.01,1-('⚙️ Calibrage'!$B$7+M89)/100))/'⚙️ Calibrage'!$B$10-'⚙️ Calibrage'!$B$11,1)</f>
        <v/>
      </c>
      <c r="Q89" t="n">
        <v>0</v>
      </c>
      <c r="R89" t="inlineStr">
        <is>
          <t>Mitaines fines, idéales pour ne pas gêner les manipulations.</t>
        </is>
      </c>
    </row>
    <row r="90">
      <c r="A90" s="5" t="inlineStr">
        <is>
          <t>slime_bracelet</t>
        </is>
      </c>
      <c r="B90" s="5" t="inlineStr">
        <is>
          <t>Bracelet de slime</t>
        </is>
      </c>
      <c r="C90" s="5" t="inlineStr">
        <is>
          <t>Bracelet</t>
        </is>
      </c>
      <c r="D90" s="5" t="inlineStr">
        <is>
          <t>bracelet</t>
        </is>
      </c>
      <c r="E90" s="5" t="inlineStr">
        <is>
          <t>slime</t>
        </is>
      </c>
      <c r="F90" s="5" t="inlineStr">
        <is>
          <t>uncommon</t>
        </is>
      </c>
      <c r="G90" s="5" t="inlineStr">
        <is>
          <t>non</t>
        </is>
      </c>
      <c r="H90" s="5" t="n">
        <v>0</v>
      </c>
      <c r="I90" s="5" t="n">
        <v>0</v>
      </c>
      <c r="J90" s="5" t="n">
        <v>80</v>
      </c>
      <c r="K90" s="5" t="n">
        <v>0</v>
      </c>
      <c r="L90" s="5" t="n">
        <v>0</v>
      </c>
      <c r="M90" s="5" t="n">
        <v>0</v>
      </c>
      <c r="N90" s="5" t="n">
        <v>0</v>
      </c>
      <c r="O90" s="5" t="n">
        <v>0</v>
      </c>
      <c r="P90" s="6">
        <f>ROUND((('⚙️ Calibrage'!$B$2+H90)*(1+(('⚙️ Calibrage'!$B$5+K90)/100)*MAX(0,('⚙️ Calibrage'!$B$6+L90)-100)/100)*(1+('⚙️ Calibrage'!$B$8+N90)/100))*((('⚙️ Calibrage'!$B$4+J90)+('⚙️ Calibrage'!$B$3+I90)*'⚙️ Calibrage'!$B$9)/MAX(0.01,1-('⚙️ Calibrage'!$B$7+M90)/100))/'⚙️ Calibrage'!$B$10-'⚙️ Calibrage'!$B$11,1)</f>
        <v/>
      </c>
      <c r="Q90" s="5" t="n">
        <v>18</v>
      </c>
      <c r="R90" s="5" t="inlineStr">
        <is>
          <t>Pièce de la panoplie slime — bonus de set actif dès 2 pièces.</t>
        </is>
      </c>
    </row>
    <row r="91">
      <c r="A91" t="inlineStr">
        <is>
          <t>slime_bracelet_plus</t>
        </is>
      </c>
      <c r="B91" t="inlineStr">
        <is>
          <t>Bracelet de slime +</t>
        </is>
      </c>
      <c r="C91" t="inlineStr">
        <is>
          <t>Bracelet</t>
        </is>
      </c>
      <c r="D91" t="inlineStr">
        <is>
          <t>bracelet</t>
        </is>
      </c>
      <c r="E91" t="inlineStr">
        <is>
          <t>slime_plus</t>
        </is>
      </c>
      <c r="F91" t="inlineStr">
        <is>
          <t>rare</t>
        </is>
      </c>
      <c r="G91" t="inlineStr">
        <is>
          <t>non</t>
        </is>
      </c>
      <c r="H91" t="n">
        <v>0</v>
      </c>
      <c r="I91" t="n">
        <v>0</v>
      </c>
      <c r="J91" t="n">
        <v>120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s="6">
        <f>ROUND((('⚙️ Calibrage'!$B$2+H91)*(1+(('⚙️ Calibrage'!$B$5+K91)/100)*MAX(0,('⚙️ Calibrage'!$B$6+L91)-100)/100)*(1+('⚙️ Calibrage'!$B$8+N91)/100))*((('⚙️ Calibrage'!$B$4+J91)+('⚙️ Calibrage'!$B$3+I91)*'⚙️ Calibrage'!$B$9)/MAX(0.01,1-('⚙️ Calibrage'!$B$7+M91)/100))/'⚙️ Calibrage'!$B$10-'⚙️ Calibrage'!$B$11,1)</f>
        <v/>
      </c>
      <c r="Q91" t="n">
        <v>18</v>
      </c>
      <c r="R91" t="inlineStr">
        <is>
          <t>Pièce de la panoplie slime — bonus de set actif dès 2 pièces. — version infusée (améliorée).</t>
        </is>
      </c>
    </row>
    <row r="92">
      <c r="A92" s="5" t="inlineStr">
        <is>
          <t>dragon_heart</t>
        </is>
      </c>
      <c r="B92" s="5" t="inlineStr">
        <is>
          <t>Cœur du Dragon Ancestral</t>
        </is>
      </c>
      <c r="C92" s="5" t="inlineStr">
        <is>
          <t>Bague</t>
        </is>
      </c>
      <c r="D92" s="5" t="inlineStr">
        <is>
          <t>bague</t>
        </is>
      </c>
      <c r="E92" s="5" t="inlineStr">
        <is>
          <t>boss</t>
        </is>
      </c>
      <c r="F92" s="5" t="inlineStr">
        <is>
          <t>legendary</t>
        </is>
      </c>
      <c r="G92" s="5" t="inlineStr">
        <is>
          <t>non</t>
        </is>
      </c>
      <c r="H92" s="5" t="n">
        <v>25</v>
      </c>
      <c r="I92" s="5" t="n">
        <v>12</v>
      </c>
      <c r="J92" s="5" t="n">
        <v>0</v>
      </c>
      <c r="K92" s="5" t="n">
        <v>0</v>
      </c>
      <c r="L92" s="5" t="n">
        <v>25</v>
      </c>
      <c r="M92" s="5" t="n">
        <v>0</v>
      </c>
      <c r="N92" s="5" t="n">
        <v>0</v>
      </c>
      <c r="O92" s="5" t="n">
        <v>0</v>
      </c>
      <c r="P92" s="6">
        <f>ROUND((('⚙️ Calibrage'!$B$2+H92)*(1+(('⚙️ Calibrage'!$B$5+K92)/100)*MAX(0,('⚙️ Calibrage'!$B$6+L92)-100)/100)*(1+('⚙️ Calibrage'!$B$8+N92)/100))*((('⚙️ Calibrage'!$B$4+J92)+('⚙️ Calibrage'!$B$3+I92)*'⚙️ Calibrage'!$B$9)/MAX(0.01,1-('⚙️ Calibrage'!$B$7+M92)/100))/'⚙️ Calibrage'!$B$10-'⚙️ Calibrage'!$B$11,1)</f>
        <v/>
      </c>
      <c r="Q92" s="5" t="n">
        <v>0</v>
      </c>
      <c r="R92" s="5" t="inlineStr">
        <is>
          <t>Trophée ultime. La puissance d'un dragon dans une bague.</t>
        </is>
      </c>
    </row>
    <row r="93">
      <c r="A93" t="inlineStr">
        <is>
          <t>gobelin_ring</t>
        </is>
      </c>
      <c r="B93" t="inlineStr">
        <is>
          <t>Bague gobeline</t>
        </is>
      </c>
      <c r="C93" t="inlineStr">
        <is>
          <t>Bague</t>
        </is>
      </c>
      <c r="D93" t="inlineStr">
        <is>
          <t>bague</t>
        </is>
      </c>
      <c r="E93" t="inlineStr">
        <is>
          <t>gobelin</t>
        </is>
      </c>
      <c r="F93" t="inlineStr">
        <is>
          <t>uncommon</t>
        </is>
      </c>
      <c r="G93" t="inlineStr">
        <is>
          <t>non</t>
        </is>
      </c>
      <c r="H93" t="n">
        <v>0</v>
      </c>
      <c r="I93" t="n">
        <v>0</v>
      </c>
      <c r="J93" t="n">
        <v>0</v>
      </c>
      <c r="K93" t="n">
        <v>7</v>
      </c>
      <c r="L93" t="n">
        <v>0</v>
      </c>
      <c r="M93" t="n">
        <v>0</v>
      </c>
      <c r="N93" t="n">
        <v>0</v>
      </c>
      <c r="O93" t="n">
        <v>0</v>
      </c>
      <c r="P93" s="6">
        <f>ROUND((('⚙️ Calibrage'!$B$2+H93)*(1+(('⚙️ Calibrage'!$B$5+K93)/100)*MAX(0,('⚙️ Calibrage'!$B$6+L93)-100)/100)*(1+('⚙️ Calibrage'!$B$8+N93)/100))*((('⚙️ Calibrage'!$B$4+J93)+('⚙️ Calibrage'!$B$3+I93)*'⚙️ Calibrage'!$B$9)/MAX(0.01,1-('⚙️ Calibrage'!$B$7+M93)/100))/'⚙️ Calibrage'!$B$10-'⚙️ Calibrage'!$B$11,1)</f>
        <v/>
      </c>
      <c r="Q93" t="n">
        <v>0</v>
      </c>
      <c r="R93" t="inlineStr">
        <is>
          <t>Bague de tribu, vibrante d'une étrange énergie.</t>
        </is>
      </c>
    </row>
    <row r="94">
      <c r="A94" s="5" t="inlineStr">
        <is>
          <t>gobelin_ring_plus</t>
        </is>
      </c>
      <c r="B94" s="5" t="inlineStr">
        <is>
          <t>Bague gobeline +</t>
        </is>
      </c>
      <c r="C94" s="5" t="inlineStr">
        <is>
          <t>Bague</t>
        </is>
      </c>
      <c r="D94" s="5" t="inlineStr">
        <is>
          <t>bague</t>
        </is>
      </c>
      <c r="E94" s="5" t="inlineStr">
        <is>
          <t>gobelin_plus</t>
        </is>
      </c>
      <c r="F94" s="5" t="inlineStr">
        <is>
          <t>rare</t>
        </is>
      </c>
      <c r="G94" s="5" t="inlineStr">
        <is>
          <t>non</t>
        </is>
      </c>
      <c r="H94" s="5" t="n">
        <v>0</v>
      </c>
      <c r="I94" s="5" t="n">
        <v>0</v>
      </c>
      <c r="J94" s="5" t="n">
        <v>0</v>
      </c>
      <c r="K94" s="5" t="n">
        <v>11</v>
      </c>
      <c r="L94" s="5" t="n">
        <v>0</v>
      </c>
      <c r="M94" s="5" t="n">
        <v>0</v>
      </c>
      <c r="N94" s="5" t="n">
        <v>0</v>
      </c>
      <c r="O94" s="5" t="n">
        <v>0</v>
      </c>
      <c r="P94" s="6">
        <f>ROUND((('⚙️ Calibrage'!$B$2+H94)*(1+(('⚙️ Calibrage'!$B$5+K94)/100)*MAX(0,('⚙️ Calibrage'!$B$6+L94)-100)/100)*(1+('⚙️ Calibrage'!$B$8+N94)/100))*((('⚙️ Calibrage'!$B$4+J94)+('⚙️ Calibrage'!$B$3+I94)*'⚙️ Calibrage'!$B$9)/MAX(0.01,1-('⚙️ Calibrage'!$B$7+M94)/100))/'⚙️ Calibrage'!$B$10-'⚙️ Calibrage'!$B$11,1)</f>
        <v/>
      </c>
      <c r="Q94" s="5" t="n">
        <v>0</v>
      </c>
      <c r="R94" s="5" t="inlineStr">
        <is>
          <t>Bague de tribu, vibrante d'une étrange énergie. — version infusée (améliorée).</t>
        </is>
      </c>
    </row>
    <row r="95">
      <c r="A95" t="inlineStr">
        <is>
          <t>iron_ring</t>
        </is>
      </c>
      <c r="B95" t="inlineStr">
        <is>
          <t>Anneau de fer</t>
        </is>
      </c>
      <c r="C95" t="inlineStr">
        <is>
          <t>Bague</t>
        </is>
      </c>
      <c r="D95" t="inlineStr">
        <is>
          <t>bague</t>
        </is>
      </c>
      <c r="E95" t="inlineStr">
        <is>
          <t>iron</t>
        </is>
      </c>
      <c r="F95" t="inlineStr">
        <is>
          <t>common</t>
        </is>
      </c>
      <c r="G95" t="inlineStr">
        <is>
          <t>non</t>
        </is>
      </c>
      <c r="H95" t="n">
        <v>0</v>
      </c>
      <c r="I95" t="n">
        <v>0</v>
      </c>
      <c r="J95" t="n">
        <v>61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s="6">
        <f>ROUND((('⚙️ Calibrage'!$B$2+H95)*(1+(('⚙️ Calibrage'!$B$5+K95)/100)*MAX(0,('⚙️ Calibrage'!$B$6+L95)-100)/100)*(1+('⚙️ Calibrage'!$B$8+N95)/100))*((('⚙️ Calibrage'!$B$4+J95)+('⚙️ Calibrage'!$B$3+I95)*'⚙️ Calibrage'!$B$9)/MAX(0.01,1-('⚙️ Calibrage'!$B$7+M95)/100))/'⚙️ Calibrage'!$B$10-'⚙️ Calibrage'!$B$11,1)</f>
        <v/>
      </c>
      <c r="Q95" t="n">
        <v>0</v>
      </c>
      <c r="R95" t="inlineStr">
        <is>
          <t>Une bague modeste mais bien forgée.</t>
        </is>
      </c>
    </row>
    <row r="96">
      <c r="A96" s="5" t="inlineStr">
        <is>
          <t>leather_bague</t>
        </is>
      </c>
      <c r="B96" s="5" t="inlineStr">
        <is>
          <t>Bague en cuir</t>
        </is>
      </c>
      <c r="C96" s="5" t="inlineStr">
        <is>
          <t>Bague</t>
        </is>
      </c>
      <c r="D96" s="5" t="inlineStr">
        <is>
          <t>bague</t>
        </is>
      </c>
      <c r="E96" s="5" t="inlineStr">
        <is>
          <t>leather</t>
        </is>
      </c>
      <c r="F96" s="5" t="inlineStr">
        <is>
          <t>common</t>
        </is>
      </c>
      <c r="G96" s="5" t="inlineStr">
        <is>
          <t>non</t>
        </is>
      </c>
      <c r="H96" s="5" t="n">
        <v>0</v>
      </c>
      <c r="I96" s="5" t="n">
        <v>0</v>
      </c>
      <c r="J96" s="5" t="n">
        <v>30</v>
      </c>
      <c r="K96" s="5" t="n">
        <v>0</v>
      </c>
      <c r="L96" s="5" t="n">
        <v>0</v>
      </c>
      <c r="M96" s="5" t="n">
        <v>6</v>
      </c>
      <c r="N96" s="5" t="n">
        <v>0</v>
      </c>
      <c r="O96" s="5" t="n">
        <v>0</v>
      </c>
      <c r="P96" s="6">
        <f>ROUND((('⚙️ Calibrage'!$B$2+H96)*(1+(('⚙️ Calibrage'!$B$5+K96)/100)*MAX(0,('⚙️ Calibrage'!$B$6+L96)-100)/100)*(1+('⚙️ Calibrage'!$B$8+N96)/100))*((('⚙️ Calibrage'!$B$4+J96)+('⚙️ Calibrage'!$B$3+I96)*'⚙️ Calibrage'!$B$9)/MAX(0.01,1-('⚙️ Calibrage'!$B$7+M96)/100))/'⚙️ Calibrage'!$B$10-'⚙️ Calibrage'!$B$11,1)</f>
        <v/>
      </c>
      <c r="Q96" s="5" t="n">
        <v>12</v>
      </c>
      <c r="R96" s="5" t="inlineStr">
        <is>
          <t>Pièce de la panoplie leather — bonus de set actif dès 2 pièces.</t>
        </is>
      </c>
    </row>
    <row r="97">
      <c r="A97" t="inlineStr">
        <is>
          <t>linen_bague</t>
        </is>
      </c>
      <c r="B97" t="inlineStr">
        <is>
          <t>Bague en lin</t>
        </is>
      </c>
      <c r="C97" t="inlineStr">
        <is>
          <t>Bague</t>
        </is>
      </c>
      <c r="D97" t="inlineStr">
        <is>
          <t>bague</t>
        </is>
      </c>
      <c r="E97" t="inlineStr">
        <is>
          <t>linen</t>
        </is>
      </c>
      <c r="F97" t="inlineStr">
        <is>
          <t>common</t>
        </is>
      </c>
      <c r="G97" t="inlineStr">
        <is>
          <t>non</t>
        </is>
      </c>
      <c r="H97" t="n">
        <v>0</v>
      </c>
      <c r="I97" t="n">
        <v>0</v>
      </c>
      <c r="J97" t="n">
        <v>0</v>
      </c>
      <c r="K97" t="n">
        <v>6</v>
      </c>
      <c r="L97" t="n">
        <v>12</v>
      </c>
      <c r="M97" t="n">
        <v>0</v>
      </c>
      <c r="N97" t="n">
        <v>0</v>
      </c>
      <c r="O97" t="n">
        <v>0</v>
      </c>
      <c r="P97" s="6">
        <f>ROUND((('⚙️ Calibrage'!$B$2+H97)*(1+(('⚙️ Calibrage'!$B$5+K97)/100)*MAX(0,('⚙️ Calibrage'!$B$6+L97)-100)/100)*(1+('⚙️ Calibrage'!$B$8+N97)/100))*((('⚙️ Calibrage'!$B$4+J97)+('⚙️ Calibrage'!$B$3+I97)*'⚙️ Calibrage'!$B$9)/MAX(0.01,1-('⚙️ Calibrage'!$B$7+M97)/100))/'⚙️ Calibrage'!$B$10-'⚙️ Calibrage'!$B$11,1)</f>
        <v/>
      </c>
      <c r="Q97" t="n">
        <v>12</v>
      </c>
      <c r="R97" t="inlineStr">
        <is>
          <t>Pièce de la panoplie linen — bonus de set actif dès 2 pièces.</t>
        </is>
      </c>
    </row>
    <row r="98">
      <c r="A98" s="5" t="inlineStr">
        <is>
          <t>slime_bague</t>
        </is>
      </c>
      <c r="B98" s="5" t="inlineStr">
        <is>
          <t>Bague de slime</t>
        </is>
      </c>
      <c r="C98" s="5" t="inlineStr">
        <is>
          <t>Bague</t>
        </is>
      </c>
      <c r="D98" s="5" t="inlineStr">
        <is>
          <t>bague</t>
        </is>
      </c>
      <c r="E98" s="5" t="inlineStr">
        <is>
          <t>slime</t>
        </is>
      </c>
      <c r="F98" s="5" t="inlineStr">
        <is>
          <t>uncommon</t>
        </is>
      </c>
      <c r="G98" s="5" t="inlineStr">
        <is>
          <t>non</t>
        </is>
      </c>
      <c r="H98" s="5" t="n">
        <v>0</v>
      </c>
      <c r="I98" s="5" t="n">
        <v>0</v>
      </c>
      <c r="J98" s="5" t="n">
        <v>80</v>
      </c>
      <c r="K98" s="5" t="n">
        <v>0</v>
      </c>
      <c r="L98" s="5" t="n">
        <v>0</v>
      </c>
      <c r="M98" s="5" t="n">
        <v>0</v>
      </c>
      <c r="N98" s="5" t="n">
        <v>0</v>
      </c>
      <c r="O98" s="5" t="n">
        <v>0</v>
      </c>
      <c r="P98" s="6">
        <f>ROUND((('⚙️ Calibrage'!$B$2+H98)*(1+(('⚙️ Calibrage'!$B$5+K98)/100)*MAX(0,('⚙️ Calibrage'!$B$6+L98)-100)/100)*(1+('⚙️ Calibrage'!$B$8+N98)/100))*((('⚙️ Calibrage'!$B$4+J98)+('⚙️ Calibrage'!$B$3+I98)*'⚙️ Calibrage'!$B$9)/MAX(0.01,1-('⚙️ Calibrage'!$B$7+M98)/100))/'⚙️ Calibrage'!$B$10-'⚙️ Calibrage'!$B$11,1)</f>
        <v/>
      </c>
      <c r="Q98" s="5" t="n">
        <v>18</v>
      </c>
      <c r="R98" s="5" t="inlineStr">
        <is>
          <t>Pièce de la panoplie slime — bonus de set actif dès 2 pièces.</t>
        </is>
      </c>
    </row>
    <row r="99">
      <c r="A99" t="inlineStr">
        <is>
          <t>slime_bague_plus</t>
        </is>
      </c>
      <c r="B99" t="inlineStr">
        <is>
          <t>Bague de slime +</t>
        </is>
      </c>
      <c r="C99" t="inlineStr">
        <is>
          <t>Bague</t>
        </is>
      </c>
      <c r="D99" t="inlineStr">
        <is>
          <t>bague</t>
        </is>
      </c>
      <c r="E99" t="inlineStr">
        <is>
          <t>slime_plus</t>
        </is>
      </c>
      <c r="F99" t="inlineStr">
        <is>
          <t>rare</t>
        </is>
      </c>
      <c r="G99" t="inlineStr">
        <is>
          <t>non</t>
        </is>
      </c>
      <c r="H99" t="n">
        <v>0</v>
      </c>
      <c r="I99" t="n">
        <v>0</v>
      </c>
      <c r="J99" t="n">
        <v>120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s="6">
        <f>ROUND((('⚙️ Calibrage'!$B$2+H99)*(1+(('⚙️ Calibrage'!$B$5+K99)/100)*MAX(0,('⚙️ Calibrage'!$B$6+L99)-100)/100)*(1+('⚙️ Calibrage'!$B$8+N99)/100))*((('⚙️ Calibrage'!$B$4+J99)+('⚙️ Calibrage'!$B$3+I99)*'⚙️ Calibrage'!$B$9)/MAX(0.01,1-('⚙️ Calibrage'!$B$7+M99)/100))/'⚙️ Calibrage'!$B$10-'⚙️ Calibrage'!$B$11,1)</f>
        <v/>
      </c>
      <c r="Q99" t="n">
        <v>18</v>
      </c>
      <c r="R99" t="inlineStr">
        <is>
          <t>Pièce de la panoplie slime — bonus de set actif dès 2 pièces. — version infusée (améliorée).</t>
        </is>
      </c>
    </row>
    <row r="100">
      <c r="A100" s="5" t="inlineStr">
        <is>
          <t>polished_stone_ring</t>
        </is>
      </c>
      <c r="B100" s="5" t="inlineStr">
        <is>
          <t>Anneau de pierre polie</t>
        </is>
      </c>
      <c r="C100" s="5" t="inlineStr">
        <is>
          <t>Bague</t>
        </is>
      </c>
      <c r="D100" s="5" t="inlineStr">
        <is>
          <t>bague</t>
        </is>
      </c>
      <c r="E100" s="5" t="inlineStr"/>
      <c r="F100" s="5" t="inlineStr">
        <is>
          <t>common</t>
        </is>
      </c>
      <c r="G100" s="5" t="inlineStr">
        <is>
          <t>non</t>
        </is>
      </c>
      <c r="H100" s="5" t="n">
        <v>0</v>
      </c>
      <c r="I100" s="5" t="n">
        <v>1</v>
      </c>
      <c r="J100" s="5" t="n">
        <v>2</v>
      </c>
      <c r="K100" s="5" t="n">
        <v>0</v>
      </c>
      <c r="L100" s="5" t="n">
        <v>0</v>
      </c>
      <c r="M100" s="5" t="n">
        <v>0</v>
      </c>
      <c r="N100" s="5" t="n">
        <v>0</v>
      </c>
      <c r="O100" s="5" t="n">
        <v>0</v>
      </c>
      <c r="P100" s="6">
        <f>ROUND((('⚙️ Calibrage'!$B$2+H100)*(1+(('⚙️ Calibrage'!$B$5+K100)/100)*MAX(0,('⚙️ Calibrage'!$B$6+L100)-100)/100)*(1+('⚙️ Calibrage'!$B$8+N100)/100))*((('⚙️ Calibrage'!$B$4+J100)+('⚙️ Calibrage'!$B$3+I100)*'⚙️ Calibrage'!$B$9)/MAX(0.01,1-('⚙️ Calibrage'!$B$7+M100)/100))/'⚙️ Calibrage'!$B$10-'⚙️ Calibrage'!$B$11,1)</f>
        <v/>
      </c>
      <c r="Q100" s="5" t="n">
        <v>0</v>
      </c>
      <c r="R100" s="5" t="inlineStr">
        <is>
          <t>Un anneau simple, taillé dans de la pierre patinée.</t>
        </is>
      </c>
    </row>
    <row r="101">
      <c r="A101" t="inlineStr">
        <is>
          <t>gobelin_ceinture</t>
        </is>
      </c>
      <c r="B101" t="inlineStr">
        <is>
          <t>Ceinture gobelin</t>
        </is>
      </c>
      <c r="C101" t="inlineStr">
        <is>
          <t>Ceinture</t>
        </is>
      </c>
      <c r="D101" t="inlineStr">
        <is>
          <t>ceinture</t>
        </is>
      </c>
      <c r="E101" t="inlineStr">
        <is>
          <t>gobelin</t>
        </is>
      </c>
      <c r="F101" t="inlineStr">
        <is>
          <t>uncommon</t>
        </is>
      </c>
      <c r="G101" t="inlineStr">
        <is>
          <t>non</t>
        </is>
      </c>
      <c r="H101" t="n">
        <v>0</v>
      </c>
      <c r="I101" t="n">
        <v>0</v>
      </c>
      <c r="J101" t="n">
        <v>0</v>
      </c>
      <c r="K101" t="n">
        <v>0</v>
      </c>
      <c r="L101" t="n">
        <v>7</v>
      </c>
      <c r="M101" t="n">
        <v>0</v>
      </c>
      <c r="N101" t="n">
        <v>0</v>
      </c>
      <c r="O101" t="n">
        <v>0</v>
      </c>
      <c r="P101" s="6">
        <f>ROUND((('⚙️ Calibrage'!$B$2+H101)*(1+(('⚙️ Calibrage'!$B$5+K101)/100)*MAX(0,('⚙️ Calibrage'!$B$6+L101)-100)/100)*(1+('⚙️ Calibrage'!$B$8+N101)/100))*((('⚙️ Calibrage'!$B$4+J101)+('⚙️ Calibrage'!$B$3+I101)*'⚙️ Calibrage'!$B$9)/MAX(0.01,1-('⚙️ Calibrage'!$B$7+M101)/100))/'⚙️ Calibrage'!$B$10-'⚙️ Calibrage'!$B$11,1)</f>
        <v/>
      </c>
      <c r="Q101" t="n">
        <v>21</v>
      </c>
      <c r="R101" t="inlineStr">
        <is>
          <t>Pièce de la panoplie gobelin — bonus de set actif dès 2 pièces.</t>
        </is>
      </c>
    </row>
    <row r="102">
      <c r="A102" s="5" t="inlineStr">
        <is>
          <t>gobelin_ceinture_plus</t>
        </is>
      </c>
      <c r="B102" s="5" t="inlineStr">
        <is>
          <t>Ceinture gobelin +</t>
        </is>
      </c>
      <c r="C102" s="5" t="inlineStr">
        <is>
          <t>Ceinture</t>
        </is>
      </c>
      <c r="D102" s="5" t="inlineStr">
        <is>
          <t>ceinture</t>
        </is>
      </c>
      <c r="E102" s="5" t="inlineStr">
        <is>
          <t>gobelin_plus</t>
        </is>
      </c>
      <c r="F102" s="5" t="inlineStr">
        <is>
          <t>rare</t>
        </is>
      </c>
      <c r="G102" s="5" t="inlineStr">
        <is>
          <t>non</t>
        </is>
      </c>
      <c r="H102" s="5" t="n">
        <v>0</v>
      </c>
      <c r="I102" s="5" t="n">
        <v>0</v>
      </c>
      <c r="J102" s="5" t="n">
        <v>0</v>
      </c>
      <c r="K102" s="5" t="n">
        <v>0</v>
      </c>
      <c r="L102" s="5" t="n">
        <v>11</v>
      </c>
      <c r="M102" s="5" t="n">
        <v>0</v>
      </c>
      <c r="N102" s="5" t="n">
        <v>0</v>
      </c>
      <c r="O102" s="5" t="n">
        <v>0</v>
      </c>
      <c r="P102" s="6">
        <f>ROUND((('⚙️ Calibrage'!$B$2+H102)*(1+(('⚙️ Calibrage'!$B$5+K102)/100)*MAX(0,('⚙️ Calibrage'!$B$6+L102)-100)/100)*(1+('⚙️ Calibrage'!$B$8+N102)/100))*((('⚙️ Calibrage'!$B$4+J102)+('⚙️ Calibrage'!$B$3+I102)*'⚙️ Calibrage'!$B$9)/MAX(0.01,1-('⚙️ Calibrage'!$B$7+M102)/100))/'⚙️ Calibrage'!$B$10-'⚙️ Calibrage'!$B$11,1)</f>
        <v/>
      </c>
      <c r="Q102" s="5" t="n">
        <v>21</v>
      </c>
      <c r="R102" s="5" t="inlineStr">
        <is>
          <t>Pièce de la panoplie gobelin — bonus de set actif dès 2 pièces. — version infusée (améliorée).</t>
        </is>
      </c>
    </row>
    <row r="103">
      <c r="A103" t="inlineStr">
        <is>
          <t>iron_ceinture</t>
        </is>
      </c>
      <c r="B103" t="inlineStr">
        <is>
          <t>Ceinture en fer</t>
        </is>
      </c>
      <c r="C103" t="inlineStr">
        <is>
          <t>Ceinture</t>
        </is>
      </c>
      <c r="D103" t="inlineStr">
        <is>
          <t>ceinture</t>
        </is>
      </c>
      <c r="E103" t="inlineStr">
        <is>
          <t>iron</t>
        </is>
      </c>
      <c r="F103" t="inlineStr">
        <is>
          <t>uncommon</t>
        </is>
      </c>
      <c r="G103" t="inlineStr">
        <is>
          <t>non</t>
        </is>
      </c>
      <c r="H103" t="n">
        <v>0</v>
      </c>
      <c r="I103" t="n">
        <v>0</v>
      </c>
      <c r="J103" t="n">
        <v>61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s="6">
        <f>ROUND((('⚙️ Calibrage'!$B$2+H103)*(1+(('⚙️ Calibrage'!$B$5+K103)/100)*MAX(0,('⚙️ Calibrage'!$B$6+L103)-100)/100)*(1+('⚙️ Calibrage'!$B$8+N103)/100))*((('⚙️ Calibrage'!$B$4+J103)+('⚙️ Calibrage'!$B$3+I103)*'⚙️ Calibrage'!$B$9)/MAX(0.01,1-('⚙️ Calibrage'!$B$7+M103)/100))/'⚙️ Calibrage'!$B$10-'⚙️ Calibrage'!$B$11,1)</f>
        <v/>
      </c>
      <c r="Q103" t="n">
        <v>24</v>
      </c>
      <c r="R103" t="inlineStr">
        <is>
          <t>Pièce de la panoplie iron — bonus de set actif dès 2 pièces.</t>
        </is>
      </c>
    </row>
    <row r="104">
      <c r="A104" s="5" t="inlineStr">
        <is>
          <t>leather_belt</t>
        </is>
      </c>
      <c r="B104" s="5" t="inlineStr">
        <is>
          <t>Ceinture en cuir</t>
        </is>
      </c>
      <c r="C104" s="5" t="inlineStr">
        <is>
          <t>Ceinture</t>
        </is>
      </c>
      <c r="D104" s="5" t="inlineStr">
        <is>
          <t>ceinture</t>
        </is>
      </c>
      <c r="E104" s="5" t="inlineStr">
        <is>
          <t>leather</t>
        </is>
      </c>
      <c r="F104" s="5" t="inlineStr">
        <is>
          <t>common</t>
        </is>
      </c>
      <c r="G104" s="5" t="inlineStr">
        <is>
          <t>non</t>
        </is>
      </c>
      <c r="H104" s="5" t="n">
        <v>0</v>
      </c>
      <c r="I104" s="5" t="n">
        <v>0</v>
      </c>
      <c r="J104" s="5" t="n">
        <v>31</v>
      </c>
      <c r="K104" s="5" t="n">
        <v>0</v>
      </c>
      <c r="L104" s="5" t="n">
        <v>0</v>
      </c>
      <c r="M104" s="5" t="n">
        <v>0</v>
      </c>
      <c r="N104" s="5" t="n">
        <v>0</v>
      </c>
      <c r="O104" s="5" t="n">
        <v>0</v>
      </c>
      <c r="P104" s="6">
        <f>ROUND((('⚙️ Calibrage'!$B$2+H104)*(1+(('⚙️ Calibrage'!$B$5+K104)/100)*MAX(0,('⚙️ Calibrage'!$B$6+L104)-100)/100)*(1+('⚙️ Calibrage'!$B$8+N104)/100))*((('⚙️ Calibrage'!$B$4+J104)+('⚙️ Calibrage'!$B$3+I104)*'⚙️ Calibrage'!$B$9)/MAX(0.01,1-('⚙️ Calibrage'!$B$7+M104)/100))/'⚙️ Calibrage'!$B$10-'⚙️ Calibrage'!$B$11,1)</f>
        <v/>
      </c>
      <c r="Q104" s="5" t="n">
        <v>0</v>
      </c>
      <c r="R104" s="5" t="inlineStr">
        <is>
          <t>Une ceinture renforcée qui maintient l'équipement.</t>
        </is>
      </c>
    </row>
    <row r="105">
      <c r="A105" t="inlineStr">
        <is>
          <t>linen_ceinture</t>
        </is>
      </c>
      <c r="B105" t="inlineStr">
        <is>
          <t>Ceinture en lin</t>
        </is>
      </c>
      <c r="C105" t="inlineStr">
        <is>
          <t>Ceinture</t>
        </is>
      </c>
      <c r="D105" t="inlineStr">
        <is>
          <t>ceinture</t>
        </is>
      </c>
      <c r="E105" t="inlineStr">
        <is>
          <t>linen</t>
        </is>
      </c>
      <c r="F105" t="inlineStr">
        <is>
          <t>common</t>
        </is>
      </c>
      <c r="G105" t="inlineStr">
        <is>
          <t>non</t>
        </is>
      </c>
      <c r="H105" t="n">
        <v>0</v>
      </c>
      <c r="I105" t="n">
        <v>0</v>
      </c>
      <c r="J105" t="n">
        <v>0</v>
      </c>
      <c r="K105" t="n">
        <v>0</v>
      </c>
      <c r="L105" t="n">
        <v>12</v>
      </c>
      <c r="M105" t="n">
        <v>0</v>
      </c>
      <c r="N105" t="n">
        <v>0</v>
      </c>
      <c r="O105" t="n">
        <v>0</v>
      </c>
      <c r="P105" s="6">
        <f>ROUND((('⚙️ Calibrage'!$B$2+H105)*(1+(('⚙️ Calibrage'!$B$5+K105)/100)*MAX(0,('⚙️ Calibrage'!$B$6+L105)-100)/100)*(1+('⚙️ Calibrage'!$B$8+N105)/100))*((('⚙️ Calibrage'!$B$4+J105)+('⚙️ Calibrage'!$B$3+I105)*'⚙️ Calibrage'!$B$9)/MAX(0.01,1-('⚙️ Calibrage'!$B$7+M105)/100))/'⚙️ Calibrage'!$B$10-'⚙️ Calibrage'!$B$11,1)</f>
        <v/>
      </c>
      <c r="Q105" t="n">
        <v>12</v>
      </c>
      <c r="R105" t="inlineStr">
        <is>
          <t>Pièce de la panoplie linen — bonus de set actif dès 2 pièces.</t>
        </is>
      </c>
    </row>
    <row r="106">
      <c r="A106" s="5" t="inlineStr">
        <is>
          <t>slime_ceinture</t>
        </is>
      </c>
      <c r="B106" s="5" t="inlineStr">
        <is>
          <t>Ceinture de slime</t>
        </is>
      </c>
      <c r="C106" s="5" t="inlineStr">
        <is>
          <t>Ceinture</t>
        </is>
      </c>
      <c r="D106" s="5" t="inlineStr">
        <is>
          <t>ceinture</t>
        </is>
      </c>
      <c r="E106" s="5" t="inlineStr">
        <is>
          <t>slime</t>
        </is>
      </c>
      <c r="F106" s="5" t="inlineStr">
        <is>
          <t>uncommon</t>
        </is>
      </c>
      <c r="G106" s="5" t="inlineStr">
        <is>
          <t>non</t>
        </is>
      </c>
      <c r="H106" s="5" t="n">
        <v>0</v>
      </c>
      <c r="I106" s="5" t="n">
        <v>0</v>
      </c>
      <c r="J106" s="5" t="n">
        <v>80</v>
      </c>
      <c r="K106" s="5" t="n">
        <v>0</v>
      </c>
      <c r="L106" s="5" t="n">
        <v>0</v>
      </c>
      <c r="M106" s="5" t="n">
        <v>0</v>
      </c>
      <c r="N106" s="5" t="n">
        <v>0</v>
      </c>
      <c r="O106" s="5" t="n">
        <v>0</v>
      </c>
      <c r="P106" s="6">
        <f>ROUND((('⚙️ Calibrage'!$B$2+H106)*(1+(('⚙️ Calibrage'!$B$5+K106)/100)*MAX(0,('⚙️ Calibrage'!$B$6+L106)-100)/100)*(1+('⚙️ Calibrage'!$B$8+N106)/100))*((('⚙️ Calibrage'!$B$4+J106)+('⚙️ Calibrage'!$B$3+I106)*'⚙️ Calibrage'!$B$9)/MAX(0.01,1-('⚙️ Calibrage'!$B$7+M106)/100))/'⚙️ Calibrage'!$B$10-'⚙️ Calibrage'!$B$11,1)</f>
        <v/>
      </c>
      <c r="Q106" s="5" t="n">
        <v>18</v>
      </c>
      <c r="R106" s="5" t="inlineStr">
        <is>
          <t>Pièce de la panoplie slime — bonus de set actif dès 2 pièces.</t>
        </is>
      </c>
    </row>
    <row r="107">
      <c r="A107" t="inlineStr">
        <is>
          <t>slime_ceinture_plus</t>
        </is>
      </c>
      <c r="B107" t="inlineStr">
        <is>
          <t>Ceinture de slime +</t>
        </is>
      </c>
      <c r="C107" t="inlineStr">
        <is>
          <t>Ceinture</t>
        </is>
      </c>
      <c r="D107" t="inlineStr">
        <is>
          <t>ceinture</t>
        </is>
      </c>
      <c r="E107" t="inlineStr">
        <is>
          <t>slime_plus</t>
        </is>
      </c>
      <c r="F107" t="inlineStr">
        <is>
          <t>rare</t>
        </is>
      </c>
      <c r="G107" t="inlineStr">
        <is>
          <t>non</t>
        </is>
      </c>
      <c r="H107" t="n">
        <v>0</v>
      </c>
      <c r="I107" t="n">
        <v>0</v>
      </c>
      <c r="J107" t="n">
        <v>120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s="6">
        <f>ROUND((('⚙️ Calibrage'!$B$2+H107)*(1+(('⚙️ Calibrage'!$B$5+K107)/100)*MAX(0,('⚙️ Calibrage'!$B$6+L107)-100)/100)*(1+('⚙️ Calibrage'!$B$8+N107)/100))*((('⚙️ Calibrage'!$B$4+J107)+('⚙️ Calibrage'!$B$3+I107)*'⚙️ Calibrage'!$B$9)/MAX(0.01,1-('⚙️ Calibrage'!$B$7+M107)/100))/'⚙️ Calibrage'!$B$10-'⚙️ Calibrage'!$B$11,1)</f>
        <v/>
      </c>
      <c r="Q107" t="n">
        <v>18</v>
      </c>
      <c r="R107" t="inlineStr">
        <is>
          <t>Pièce de la panoplie slime — bonus de set actif dès 2 pièces. — version infusée (améliorée).</t>
        </is>
      </c>
    </row>
    <row r="108">
      <c r="A108" s="5" t="inlineStr">
        <is>
          <t>wraith_cloak</t>
        </is>
      </c>
      <c r="B108" s="5" t="inlineStr">
        <is>
          <t>Cape du Spectre</t>
        </is>
      </c>
      <c r="C108" s="5" t="inlineStr">
        <is>
          <t>Cape</t>
        </is>
      </c>
      <c r="D108" s="5" t="inlineStr">
        <is>
          <t>cape</t>
        </is>
      </c>
      <c r="E108" s="5" t="inlineStr">
        <is>
          <t>boss</t>
        </is>
      </c>
      <c r="F108" s="5" t="inlineStr">
        <is>
          <t>legendary</t>
        </is>
      </c>
      <c r="G108" s="5" t="inlineStr">
        <is>
          <t>non</t>
        </is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15</v>
      </c>
      <c r="M108" s="5" t="n">
        <v>6</v>
      </c>
      <c r="N108" s="5" t="n">
        <v>4</v>
      </c>
      <c r="O108" s="5" t="n">
        <v>0</v>
      </c>
      <c r="P108" s="6">
        <f>ROUND((('⚙️ Calibrage'!$B$2+H108)*(1+(('⚙️ Calibrage'!$B$5+K108)/100)*MAX(0,('⚙️ Calibrage'!$B$6+L108)-100)/100)*(1+('⚙️ Calibrage'!$B$8+N108)/100))*((('⚙️ Calibrage'!$B$4+J108)+('⚙️ Calibrage'!$B$3+I108)*'⚙️ Calibrage'!$B$9)/MAX(0.01,1-('⚙️ Calibrage'!$B$7+M108)/100))/'⚙️ Calibrage'!$B$10-'⚙️ Calibrage'!$B$11,1)</f>
        <v/>
      </c>
      <c r="Q108" s="5" t="n">
        <v>0</v>
      </c>
      <c r="R108" s="5" t="inlineStr">
        <is>
          <t>Trophée du Spectre des Ténèbres. Floue les contours.</t>
        </is>
      </c>
    </row>
    <row r="109">
      <c r="A109" t="inlineStr">
        <is>
          <t>gobelin_cape</t>
        </is>
      </c>
      <c r="B109" t="inlineStr">
        <is>
          <t>Cape gobelin</t>
        </is>
      </c>
      <c r="C109" t="inlineStr">
        <is>
          <t>Cape</t>
        </is>
      </c>
      <c r="D109" t="inlineStr">
        <is>
          <t>cape</t>
        </is>
      </c>
      <c r="E109" t="inlineStr">
        <is>
          <t>gobelin</t>
        </is>
      </c>
      <c r="F109" t="inlineStr">
        <is>
          <t>uncommon</t>
        </is>
      </c>
      <c r="G109" t="inlineStr">
        <is>
          <t>non</t>
        </is>
      </c>
      <c r="H109" t="n">
        <v>0</v>
      </c>
      <c r="I109" t="n">
        <v>0</v>
      </c>
      <c r="J109" t="n">
        <v>0</v>
      </c>
      <c r="K109" t="n">
        <v>7</v>
      </c>
      <c r="L109" t="n">
        <v>0</v>
      </c>
      <c r="M109" t="n">
        <v>0</v>
      </c>
      <c r="N109" t="n">
        <v>0</v>
      </c>
      <c r="O109" t="n">
        <v>0</v>
      </c>
      <c r="P109" s="6">
        <f>ROUND((('⚙️ Calibrage'!$B$2+H109)*(1+(('⚙️ Calibrage'!$B$5+K109)/100)*MAX(0,('⚙️ Calibrage'!$B$6+L109)-100)/100)*(1+('⚙️ Calibrage'!$B$8+N109)/100))*((('⚙️ Calibrage'!$B$4+J109)+('⚙️ Calibrage'!$B$3+I109)*'⚙️ Calibrage'!$B$9)/MAX(0.01,1-('⚙️ Calibrage'!$B$7+M109)/100))/'⚙️ Calibrage'!$B$10-'⚙️ Calibrage'!$B$11,1)</f>
        <v/>
      </c>
      <c r="Q109" t="n">
        <v>21</v>
      </c>
      <c r="R109" t="inlineStr">
        <is>
          <t>Pièce de la panoplie gobelin — bonus de set actif dès 2 pièces.</t>
        </is>
      </c>
    </row>
    <row r="110">
      <c r="A110" s="5" t="inlineStr">
        <is>
          <t>gobelin_cape_plus</t>
        </is>
      </c>
      <c r="B110" s="5" t="inlineStr">
        <is>
          <t>Cape gobelin +</t>
        </is>
      </c>
      <c r="C110" s="5" t="inlineStr">
        <is>
          <t>Cape</t>
        </is>
      </c>
      <c r="D110" s="5" t="inlineStr">
        <is>
          <t>cape</t>
        </is>
      </c>
      <c r="E110" s="5" t="inlineStr">
        <is>
          <t>gobelin_plus</t>
        </is>
      </c>
      <c r="F110" s="5" t="inlineStr">
        <is>
          <t>rare</t>
        </is>
      </c>
      <c r="G110" s="5" t="inlineStr">
        <is>
          <t>non</t>
        </is>
      </c>
      <c r="H110" s="5" t="n">
        <v>0</v>
      </c>
      <c r="I110" s="5" t="n">
        <v>0</v>
      </c>
      <c r="J110" s="5" t="n">
        <v>0</v>
      </c>
      <c r="K110" s="5" t="n">
        <v>11</v>
      </c>
      <c r="L110" s="5" t="n">
        <v>0</v>
      </c>
      <c r="M110" s="5" t="n">
        <v>0</v>
      </c>
      <c r="N110" s="5" t="n">
        <v>0</v>
      </c>
      <c r="O110" s="5" t="n">
        <v>0</v>
      </c>
      <c r="P110" s="6">
        <f>ROUND((('⚙️ Calibrage'!$B$2+H110)*(1+(('⚙️ Calibrage'!$B$5+K110)/100)*MAX(0,('⚙️ Calibrage'!$B$6+L110)-100)/100)*(1+('⚙️ Calibrage'!$B$8+N110)/100))*((('⚙️ Calibrage'!$B$4+J110)+('⚙️ Calibrage'!$B$3+I110)*'⚙️ Calibrage'!$B$9)/MAX(0.01,1-('⚙️ Calibrage'!$B$7+M110)/100))/'⚙️ Calibrage'!$B$10-'⚙️ Calibrage'!$B$11,1)</f>
        <v/>
      </c>
      <c r="Q110" s="5" t="n">
        <v>21</v>
      </c>
      <c r="R110" s="5" t="inlineStr">
        <is>
          <t>Pièce de la panoplie gobelin — bonus de set actif dès 2 pièces. — version infusée (améliorée).</t>
        </is>
      </c>
    </row>
    <row r="111">
      <c r="A111" t="inlineStr">
        <is>
          <t>iron_cape</t>
        </is>
      </c>
      <c r="B111" t="inlineStr">
        <is>
          <t>Cape en fer</t>
        </is>
      </c>
      <c r="C111" t="inlineStr">
        <is>
          <t>Cape</t>
        </is>
      </c>
      <c r="D111" t="inlineStr">
        <is>
          <t>cape</t>
        </is>
      </c>
      <c r="E111" t="inlineStr">
        <is>
          <t>iron</t>
        </is>
      </c>
      <c r="F111" t="inlineStr">
        <is>
          <t>uncommon</t>
        </is>
      </c>
      <c r="G111" t="inlineStr">
        <is>
          <t>non</t>
        </is>
      </c>
      <c r="H111" t="n">
        <v>0</v>
      </c>
      <c r="I111" t="n">
        <v>0</v>
      </c>
      <c r="J111" t="n">
        <v>61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s="6">
        <f>ROUND((('⚙️ Calibrage'!$B$2+H111)*(1+(('⚙️ Calibrage'!$B$5+K111)/100)*MAX(0,('⚙️ Calibrage'!$B$6+L111)-100)/100)*(1+('⚙️ Calibrage'!$B$8+N111)/100))*((('⚙️ Calibrage'!$B$4+J111)+('⚙️ Calibrage'!$B$3+I111)*'⚙️ Calibrage'!$B$9)/MAX(0.01,1-('⚙️ Calibrage'!$B$7+M111)/100))/'⚙️ Calibrage'!$B$10-'⚙️ Calibrage'!$B$11,1)</f>
        <v/>
      </c>
      <c r="Q111" t="n">
        <v>24</v>
      </c>
      <c r="R111" t="inlineStr">
        <is>
          <t>Pièce de la panoplie iron — bonus de set actif dès 2 pièces.</t>
        </is>
      </c>
    </row>
    <row r="112">
      <c r="A112" s="5" t="inlineStr">
        <is>
          <t>leather_cape</t>
        </is>
      </c>
      <c r="B112" s="5" t="inlineStr">
        <is>
          <t>Cape en cuir</t>
        </is>
      </c>
      <c r="C112" s="5" t="inlineStr">
        <is>
          <t>Cape</t>
        </is>
      </c>
      <c r="D112" s="5" t="inlineStr">
        <is>
          <t>cape</t>
        </is>
      </c>
      <c r="E112" s="5" t="inlineStr">
        <is>
          <t>leather</t>
        </is>
      </c>
      <c r="F112" s="5" t="inlineStr">
        <is>
          <t>common</t>
        </is>
      </c>
      <c r="G112" s="5" t="inlineStr">
        <is>
          <t>non</t>
        </is>
      </c>
      <c r="H112" s="5" t="n">
        <v>0</v>
      </c>
      <c r="I112" s="5" t="n">
        <v>0</v>
      </c>
      <c r="J112" s="5" t="n">
        <v>31</v>
      </c>
      <c r="K112" s="5" t="n">
        <v>0</v>
      </c>
      <c r="L112" s="5" t="n">
        <v>0</v>
      </c>
      <c r="M112" s="5" t="n">
        <v>0</v>
      </c>
      <c r="N112" s="5" t="n">
        <v>0</v>
      </c>
      <c r="O112" s="5" t="n">
        <v>0</v>
      </c>
      <c r="P112" s="6">
        <f>ROUND((('⚙️ Calibrage'!$B$2+H112)*(1+(('⚙️ Calibrage'!$B$5+K112)/100)*MAX(0,('⚙️ Calibrage'!$B$6+L112)-100)/100)*(1+('⚙️ Calibrage'!$B$8+N112)/100))*((('⚙️ Calibrage'!$B$4+J112)+('⚙️ Calibrage'!$B$3+I112)*'⚙️ Calibrage'!$B$9)/MAX(0.01,1-('⚙️ Calibrage'!$B$7+M112)/100))/'⚙️ Calibrage'!$B$10-'⚙️ Calibrage'!$B$11,1)</f>
        <v/>
      </c>
      <c r="Q112" s="5" t="n">
        <v>12</v>
      </c>
      <c r="R112" s="5" t="inlineStr">
        <is>
          <t>Pièce de la panoplie leather — bonus de set actif dès 2 pièces.</t>
        </is>
      </c>
    </row>
    <row r="113">
      <c r="A113" t="inlineStr">
        <is>
          <t>linen_cape</t>
        </is>
      </c>
      <c r="B113" t="inlineStr">
        <is>
          <t>Cape en lin</t>
        </is>
      </c>
      <c r="C113" t="inlineStr">
        <is>
          <t>Cape</t>
        </is>
      </c>
      <c r="D113" t="inlineStr">
        <is>
          <t>cape</t>
        </is>
      </c>
      <c r="E113" t="inlineStr">
        <is>
          <t>linen</t>
        </is>
      </c>
      <c r="F113" t="inlineStr">
        <is>
          <t>common</t>
        </is>
      </c>
      <c r="G113" t="inlineStr">
        <is>
          <t>non</t>
        </is>
      </c>
      <c r="H113" t="n">
        <v>0</v>
      </c>
      <c r="I113" t="n">
        <v>0</v>
      </c>
      <c r="J113" t="n">
        <v>0</v>
      </c>
      <c r="K113" t="n">
        <v>6</v>
      </c>
      <c r="L113" t="n">
        <v>12</v>
      </c>
      <c r="M113" t="n">
        <v>0</v>
      </c>
      <c r="N113" t="n">
        <v>0</v>
      </c>
      <c r="O113" t="n">
        <v>0</v>
      </c>
      <c r="P113" s="6">
        <f>ROUND((('⚙️ Calibrage'!$B$2+H113)*(1+(('⚙️ Calibrage'!$B$5+K113)/100)*MAX(0,('⚙️ Calibrage'!$B$6+L113)-100)/100)*(1+('⚙️ Calibrage'!$B$8+N113)/100))*((('⚙️ Calibrage'!$B$4+J113)+('⚙️ Calibrage'!$B$3+I113)*'⚙️ Calibrage'!$B$9)/MAX(0.01,1-('⚙️ Calibrage'!$B$7+M113)/100))/'⚙️ Calibrage'!$B$10-'⚙️ Calibrage'!$B$11,1)</f>
        <v/>
      </c>
      <c r="Q113" t="n">
        <v>0</v>
      </c>
      <c r="R113" t="inlineStr">
        <is>
          <t>Cape légère qui protège du vent et des regards.</t>
        </is>
      </c>
    </row>
    <row r="114">
      <c r="A114" s="5" t="inlineStr">
        <is>
          <t>slime_cloak</t>
        </is>
      </c>
      <c r="B114" s="5" t="inlineStr">
        <is>
          <t>Cape gluante</t>
        </is>
      </c>
      <c r="C114" s="5" t="inlineStr">
        <is>
          <t>Cape</t>
        </is>
      </c>
      <c r="D114" s="5" t="inlineStr">
        <is>
          <t>cape</t>
        </is>
      </c>
      <c r="E114" s="5" t="inlineStr">
        <is>
          <t>slime</t>
        </is>
      </c>
      <c r="F114" s="5" t="inlineStr">
        <is>
          <t>uncommon</t>
        </is>
      </c>
      <c r="G114" s="5" t="inlineStr">
        <is>
          <t>non</t>
        </is>
      </c>
      <c r="H114" s="5" t="n">
        <v>0</v>
      </c>
      <c r="I114" s="5" t="n">
        <v>0</v>
      </c>
      <c r="J114" s="5" t="n">
        <v>80</v>
      </c>
      <c r="K114" s="5" t="n">
        <v>0</v>
      </c>
      <c r="L114" s="5" t="n">
        <v>0</v>
      </c>
      <c r="M114" s="5" t="n">
        <v>0</v>
      </c>
      <c r="N114" s="5" t="n">
        <v>0</v>
      </c>
      <c r="O114" s="5" t="n">
        <v>0</v>
      </c>
      <c r="P114" s="6">
        <f>ROUND((('⚙️ Calibrage'!$B$2+H114)*(1+(('⚙️ Calibrage'!$B$5+K114)/100)*MAX(0,('⚙️ Calibrage'!$B$6+L114)-100)/100)*(1+('⚙️ Calibrage'!$B$8+N114)/100))*((('⚙️ Calibrage'!$B$4+J114)+('⚙️ Calibrage'!$B$3+I114)*'⚙️ Calibrage'!$B$9)/MAX(0.01,1-('⚙️ Calibrage'!$B$7+M114)/100))/'⚙️ Calibrage'!$B$10-'⚙️ Calibrage'!$B$11,1)</f>
        <v/>
      </c>
      <c r="Q114" s="5" t="n">
        <v>0</v>
      </c>
      <c r="R114" s="5" t="inlineStr">
        <is>
          <t>Cape recouverte d'une pellicule de gel de slime — collante mais étonnamment résistante.</t>
        </is>
      </c>
    </row>
    <row r="115">
      <c r="A115" t="inlineStr">
        <is>
          <t>slime_cloak_plus</t>
        </is>
      </c>
      <c r="B115" t="inlineStr">
        <is>
          <t>Cape gluante +</t>
        </is>
      </c>
      <c r="C115" t="inlineStr">
        <is>
          <t>Cape</t>
        </is>
      </c>
      <c r="D115" t="inlineStr">
        <is>
          <t>cape</t>
        </is>
      </c>
      <c r="E115" t="inlineStr">
        <is>
          <t>slime_plus</t>
        </is>
      </c>
      <c r="F115" t="inlineStr">
        <is>
          <t>rare</t>
        </is>
      </c>
      <c r="G115" t="inlineStr">
        <is>
          <t>non</t>
        </is>
      </c>
      <c r="H115" t="n">
        <v>0</v>
      </c>
      <c r="I115" t="n">
        <v>0</v>
      </c>
      <c r="J115" t="n">
        <v>120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s="6">
        <f>ROUND((('⚙️ Calibrage'!$B$2+H115)*(1+(('⚙️ Calibrage'!$B$5+K115)/100)*MAX(0,('⚙️ Calibrage'!$B$6+L115)-100)/100)*(1+('⚙️ Calibrage'!$B$8+N115)/100))*((('⚙️ Calibrage'!$B$4+J115)+('⚙️ Calibrage'!$B$3+I115)*'⚙️ Calibrage'!$B$9)/MAX(0.01,1-('⚙️ Calibrage'!$B$7+M115)/100))/'⚙️ Calibrage'!$B$10-'⚙️ Calibrage'!$B$11,1)</f>
        <v/>
      </c>
      <c r="Q115" t="n">
        <v>0</v>
      </c>
      <c r="R115" t="inlineStr">
        <is>
          <t>Cape recouverte d'une pellicule de gel de slime — collante mais étonnamment résistante. — version infusée (améliorée).</t>
        </is>
      </c>
    </row>
    <row r="116">
      <c r="A116" s="5" t="inlineStr">
        <is>
          <t>gobelin_boucle_oreille</t>
        </is>
      </c>
      <c r="B116" s="5" t="inlineStr">
        <is>
          <t>Boucle gobelin</t>
        </is>
      </c>
      <c r="C116" s="5" t="inlineStr">
        <is>
          <t>Boucle d'oreille</t>
        </is>
      </c>
      <c r="D116" s="5" t="inlineStr">
        <is>
          <t>boucle_oreille</t>
        </is>
      </c>
      <c r="E116" s="5" t="inlineStr">
        <is>
          <t>gobelin</t>
        </is>
      </c>
      <c r="F116" s="5" t="inlineStr">
        <is>
          <t>uncommon</t>
        </is>
      </c>
      <c r="G116" s="5" t="inlineStr">
        <is>
          <t>non</t>
        </is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7</v>
      </c>
      <c r="M116" s="5" t="n">
        <v>0</v>
      </c>
      <c r="N116" s="5" t="n">
        <v>0</v>
      </c>
      <c r="O116" s="5" t="n">
        <v>0</v>
      </c>
      <c r="P116" s="6">
        <f>ROUND((('⚙️ Calibrage'!$B$2+H116)*(1+(('⚙️ Calibrage'!$B$5+K116)/100)*MAX(0,('⚙️ Calibrage'!$B$6+L116)-100)/100)*(1+('⚙️ Calibrage'!$B$8+N116)/100))*((('⚙️ Calibrage'!$B$4+J116)+('⚙️ Calibrage'!$B$3+I116)*'⚙️ Calibrage'!$B$9)/MAX(0.01,1-('⚙️ Calibrage'!$B$7+M116)/100))/'⚙️ Calibrage'!$B$10-'⚙️ Calibrage'!$B$11,1)</f>
        <v/>
      </c>
      <c r="Q116" s="5" t="n">
        <v>21</v>
      </c>
      <c r="R116" s="5" t="inlineStr">
        <is>
          <t>Pièce de la panoplie gobelin — bonus de set actif dès 2 pièces.</t>
        </is>
      </c>
    </row>
    <row r="117">
      <c r="A117" t="inlineStr">
        <is>
          <t>gobelin_boucle_oreille_plus</t>
        </is>
      </c>
      <c r="B117" t="inlineStr">
        <is>
          <t>Boucle gobelin +</t>
        </is>
      </c>
      <c r="C117" t="inlineStr">
        <is>
          <t>Boucle d'oreille</t>
        </is>
      </c>
      <c r="D117" t="inlineStr">
        <is>
          <t>boucle_oreille</t>
        </is>
      </c>
      <c r="E117" t="inlineStr">
        <is>
          <t>gobelin_plus</t>
        </is>
      </c>
      <c r="F117" t="inlineStr">
        <is>
          <t>rare</t>
        </is>
      </c>
      <c r="G117" t="inlineStr">
        <is>
          <t>non</t>
        </is>
      </c>
      <c r="H117" t="n">
        <v>0</v>
      </c>
      <c r="I117" t="n">
        <v>0</v>
      </c>
      <c r="J117" t="n">
        <v>0</v>
      </c>
      <c r="K117" t="n">
        <v>0</v>
      </c>
      <c r="L117" t="n">
        <v>11</v>
      </c>
      <c r="M117" t="n">
        <v>0</v>
      </c>
      <c r="N117" t="n">
        <v>0</v>
      </c>
      <c r="O117" t="n">
        <v>0</v>
      </c>
      <c r="P117" s="6">
        <f>ROUND((('⚙️ Calibrage'!$B$2+H117)*(1+(('⚙️ Calibrage'!$B$5+K117)/100)*MAX(0,('⚙️ Calibrage'!$B$6+L117)-100)/100)*(1+('⚙️ Calibrage'!$B$8+N117)/100))*((('⚙️ Calibrage'!$B$4+J117)+('⚙️ Calibrage'!$B$3+I117)*'⚙️ Calibrage'!$B$9)/MAX(0.01,1-('⚙️ Calibrage'!$B$7+M117)/100))/'⚙️ Calibrage'!$B$10-'⚙️ Calibrage'!$B$11,1)</f>
        <v/>
      </c>
      <c r="Q117" t="n">
        <v>21</v>
      </c>
      <c r="R117" t="inlineStr">
        <is>
          <t>Pièce de la panoplie gobelin — bonus de set actif dès 2 pièces. — version infusée (améliorée).</t>
        </is>
      </c>
    </row>
    <row r="118">
      <c r="A118" s="5" t="inlineStr">
        <is>
          <t>iron_boucle_oreille</t>
        </is>
      </c>
      <c r="B118" s="5" t="inlineStr">
        <is>
          <t>Boucle en fer</t>
        </is>
      </c>
      <c r="C118" s="5" t="inlineStr">
        <is>
          <t>Boucle d'oreille</t>
        </is>
      </c>
      <c r="D118" s="5" t="inlineStr">
        <is>
          <t>boucle_oreille</t>
        </is>
      </c>
      <c r="E118" s="5" t="inlineStr">
        <is>
          <t>iron</t>
        </is>
      </c>
      <c r="F118" s="5" t="inlineStr">
        <is>
          <t>uncommon</t>
        </is>
      </c>
      <c r="G118" s="5" t="inlineStr">
        <is>
          <t>non</t>
        </is>
      </c>
      <c r="H118" s="5" t="n">
        <v>0</v>
      </c>
      <c r="I118" s="5" t="n">
        <v>0</v>
      </c>
      <c r="J118" s="5" t="n">
        <v>61</v>
      </c>
      <c r="K118" s="5" t="n">
        <v>0</v>
      </c>
      <c r="L118" s="5" t="n">
        <v>0</v>
      </c>
      <c r="M118" s="5" t="n">
        <v>0</v>
      </c>
      <c r="N118" s="5" t="n">
        <v>0</v>
      </c>
      <c r="O118" s="5" t="n">
        <v>0</v>
      </c>
      <c r="P118" s="6">
        <f>ROUND((('⚙️ Calibrage'!$B$2+H118)*(1+(('⚙️ Calibrage'!$B$5+K118)/100)*MAX(0,('⚙️ Calibrage'!$B$6+L118)-100)/100)*(1+('⚙️ Calibrage'!$B$8+N118)/100))*((('⚙️ Calibrage'!$B$4+J118)+('⚙️ Calibrage'!$B$3+I118)*'⚙️ Calibrage'!$B$9)/MAX(0.01,1-('⚙️ Calibrage'!$B$7+M118)/100))/'⚙️ Calibrage'!$B$10-'⚙️ Calibrage'!$B$11,1)</f>
        <v/>
      </c>
      <c r="Q118" s="5" t="n">
        <v>24</v>
      </c>
      <c r="R118" s="5" t="inlineStr">
        <is>
          <t>Pièce de la panoplie iron — bonus de set actif dès 2 pièces.</t>
        </is>
      </c>
    </row>
    <row r="119">
      <c r="A119" t="inlineStr">
        <is>
          <t>leather_boucle_oreille</t>
        </is>
      </c>
      <c r="B119" t="inlineStr">
        <is>
          <t>Boucle en cuir</t>
        </is>
      </c>
      <c r="C119" t="inlineStr">
        <is>
          <t>Boucle d'oreille</t>
        </is>
      </c>
      <c r="D119" t="inlineStr">
        <is>
          <t>boucle_oreille</t>
        </is>
      </c>
      <c r="E119" t="inlineStr">
        <is>
          <t>leather</t>
        </is>
      </c>
      <c r="F119" t="inlineStr">
        <is>
          <t>common</t>
        </is>
      </c>
      <c r="G119" t="inlineStr">
        <is>
          <t>non</t>
        </is>
      </c>
      <c r="H119" t="n">
        <v>0</v>
      </c>
      <c r="I119" t="n">
        <v>0</v>
      </c>
      <c r="J119" t="n">
        <v>31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s="6">
        <f>ROUND((('⚙️ Calibrage'!$B$2+H119)*(1+(('⚙️ Calibrage'!$B$5+K119)/100)*MAX(0,('⚙️ Calibrage'!$B$6+L119)-100)/100)*(1+('⚙️ Calibrage'!$B$8+N119)/100))*((('⚙️ Calibrage'!$B$4+J119)+('⚙️ Calibrage'!$B$3+I119)*'⚙️ Calibrage'!$B$9)/MAX(0.01,1-('⚙️ Calibrage'!$B$7+M119)/100))/'⚙️ Calibrage'!$B$10-'⚙️ Calibrage'!$B$11,1)</f>
        <v/>
      </c>
      <c r="Q119" t="n">
        <v>12</v>
      </c>
      <c r="R119" t="inlineStr">
        <is>
          <t>Pièce de la panoplie leather — bonus de set actif dès 2 pièces.</t>
        </is>
      </c>
    </row>
    <row r="120">
      <c r="A120" s="5" t="inlineStr">
        <is>
          <t>linen_boucle_oreille</t>
        </is>
      </c>
      <c r="B120" s="5" t="inlineStr">
        <is>
          <t>Boucle en lin</t>
        </is>
      </c>
      <c r="C120" s="5" t="inlineStr">
        <is>
          <t>Boucle d'oreille</t>
        </is>
      </c>
      <c r="D120" s="5" t="inlineStr">
        <is>
          <t>boucle_oreille</t>
        </is>
      </c>
      <c r="E120" s="5" t="inlineStr">
        <is>
          <t>linen</t>
        </is>
      </c>
      <c r="F120" s="5" t="inlineStr">
        <is>
          <t>common</t>
        </is>
      </c>
      <c r="G120" s="5" t="inlineStr">
        <is>
          <t>non</t>
        </is>
      </c>
      <c r="H120" s="5" t="n">
        <v>0</v>
      </c>
      <c r="I120" s="5" t="n">
        <v>0</v>
      </c>
      <c r="J120" s="5" t="n">
        <v>0</v>
      </c>
      <c r="K120" s="5" t="n">
        <v>0</v>
      </c>
      <c r="L120" s="5" t="n">
        <v>12</v>
      </c>
      <c r="M120" s="5" t="n">
        <v>0</v>
      </c>
      <c r="N120" s="5" t="n">
        <v>0</v>
      </c>
      <c r="O120" s="5" t="n">
        <v>0</v>
      </c>
      <c r="P120" s="6">
        <f>ROUND((('⚙️ Calibrage'!$B$2+H120)*(1+(('⚙️ Calibrage'!$B$5+K120)/100)*MAX(0,('⚙️ Calibrage'!$B$6+L120)-100)/100)*(1+('⚙️ Calibrage'!$B$8+N120)/100))*((('⚙️ Calibrage'!$B$4+J120)+('⚙️ Calibrage'!$B$3+I120)*'⚙️ Calibrage'!$B$9)/MAX(0.01,1-('⚙️ Calibrage'!$B$7+M120)/100))/'⚙️ Calibrage'!$B$10-'⚙️ Calibrage'!$B$11,1)</f>
        <v/>
      </c>
      <c r="Q120" s="5" t="n">
        <v>12</v>
      </c>
      <c r="R120" s="5" t="inlineStr">
        <is>
          <t>Pièce de la panoplie linen — bonus de set actif dès 2 pièces.</t>
        </is>
      </c>
    </row>
    <row r="121">
      <c r="A121" t="inlineStr">
        <is>
          <t>slime_boucle_oreille</t>
        </is>
      </c>
      <c r="B121" t="inlineStr">
        <is>
          <t>Boucle de slime</t>
        </is>
      </c>
      <c r="C121" t="inlineStr">
        <is>
          <t>Boucle d'oreille</t>
        </is>
      </c>
      <c r="D121" t="inlineStr">
        <is>
          <t>boucle_oreille</t>
        </is>
      </c>
      <c r="E121" t="inlineStr">
        <is>
          <t>slime</t>
        </is>
      </c>
      <c r="F121" t="inlineStr">
        <is>
          <t>uncommon</t>
        </is>
      </c>
      <c r="G121" t="inlineStr">
        <is>
          <t>non</t>
        </is>
      </c>
      <c r="H121" t="n">
        <v>0</v>
      </c>
      <c r="I121" t="n">
        <v>0</v>
      </c>
      <c r="J121" t="n">
        <v>80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s="6">
        <f>ROUND((('⚙️ Calibrage'!$B$2+H121)*(1+(('⚙️ Calibrage'!$B$5+K121)/100)*MAX(0,('⚙️ Calibrage'!$B$6+L121)-100)/100)*(1+('⚙️ Calibrage'!$B$8+N121)/100))*((('⚙️ Calibrage'!$B$4+J121)+('⚙️ Calibrage'!$B$3+I121)*'⚙️ Calibrage'!$B$9)/MAX(0.01,1-('⚙️ Calibrage'!$B$7+M121)/100))/'⚙️ Calibrage'!$B$10-'⚙️ Calibrage'!$B$11,1)</f>
        <v/>
      </c>
      <c r="Q121" t="n">
        <v>18</v>
      </c>
      <c r="R121" t="inlineStr">
        <is>
          <t>Pièce de la panoplie slime — bonus de set actif dès 2 pièces.</t>
        </is>
      </c>
    </row>
    <row r="122">
      <c r="A122" s="5" t="inlineStr">
        <is>
          <t>slime_boucle_oreille_plus</t>
        </is>
      </c>
      <c r="B122" s="5" t="inlineStr">
        <is>
          <t>Boucle de slime +</t>
        </is>
      </c>
      <c r="C122" s="5" t="inlineStr">
        <is>
          <t>Boucle d'oreille</t>
        </is>
      </c>
      <c r="D122" s="5" t="inlineStr">
        <is>
          <t>boucle_oreille</t>
        </is>
      </c>
      <c r="E122" s="5" t="inlineStr">
        <is>
          <t>slime_plus</t>
        </is>
      </c>
      <c r="F122" s="5" t="inlineStr">
        <is>
          <t>rare</t>
        </is>
      </c>
      <c r="G122" s="5" t="inlineStr">
        <is>
          <t>non</t>
        </is>
      </c>
      <c r="H122" s="5" t="n">
        <v>0</v>
      </c>
      <c r="I122" s="5" t="n">
        <v>0</v>
      </c>
      <c r="J122" s="5" t="n">
        <v>120</v>
      </c>
      <c r="K122" s="5" t="n">
        <v>0</v>
      </c>
      <c r="L122" s="5" t="n">
        <v>0</v>
      </c>
      <c r="M122" s="5" t="n">
        <v>0</v>
      </c>
      <c r="N122" s="5" t="n">
        <v>0</v>
      </c>
      <c r="O122" s="5" t="n">
        <v>0</v>
      </c>
      <c r="P122" s="6">
        <f>ROUND((('⚙️ Calibrage'!$B$2+H122)*(1+(('⚙️ Calibrage'!$B$5+K122)/100)*MAX(0,('⚙️ Calibrage'!$B$6+L122)-100)/100)*(1+('⚙️ Calibrage'!$B$8+N122)/100))*((('⚙️ Calibrage'!$B$4+J122)+('⚙️ Calibrage'!$B$3+I122)*'⚙️ Calibrage'!$B$9)/MAX(0.01,1-('⚙️ Calibrage'!$B$7+M122)/100))/'⚙️ Calibrage'!$B$10-'⚙️ Calibrage'!$B$11,1)</f>
        <v/>
      </c>
      <c r="Q122" s="5" t="n">
        <v>18</v>
      </c>
      <c r="R122" s="5" t="inlineStr">
        <is>
          <t>Pièce de la panoplie slime — bonus de set actif dès 2 pièces. — version infusée (améliorée).</t>
        </is>
      </c>
    </row>
    <row r="123">
      <c r="A123" t="inlineStr">
        <is>
          <t>stone_earring</t>
        </is>
      </c>
      <c r="B123" t="inlineStr">
        <is>
          <t>Boucle de pierre polie</t>
        </is>
      </c>
      <c r="C123" t="inlineStr">
        <is>
          <t>Boucle d'oreille</t>
        </is>
      </c>
      <c r="D123" t="inlineStr">
        <is>
          <t>boucle_oreille</t>
        </is>
      </c>
      <c r="E123" t="inlineStr"/>
      <c r="F123" t="inlineStr">
        <is>
          <t>common</t>
        </is>
      </c>
      <c r="G123" t="inlineStr">
        <is>
          <t>non</t>
        </is>
      </c>
      <c r="H123" t="n">
        <v>0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s="6">
        <f>ROUND((('⚙️ Calibrage'!$B$2+H123)*(1+(('⚙️ Calibrage'!$B$5+K123)/100)*MAX(0,('⚙️ Calibrage'!$B$6+L123)-100)/100)*(1+('⚙️ Calibrage'!$B$8+N123)/100))*((('⚙️ Calibrage'!$B$4+J123)+('⚙️ Calibrage'!$B$3+I123)*'⚙️ Calibrage'!$B$9)/MAX(0.01,1-('⚙️ Calibrage'!$B$7+M123)/100))/'⚙️ Calibrage'!$B$10-'⚙️ Calibrage'!$B$11,1)</f>
        <v/>
      </c>
      <c r="Q123" t="n">
        <v>0</v>
      </c>
      <c r="R123" t="inlineStr">
        <is>
          <t>Petit ornement d'oreille modestement enchanté.</t>
        </is>
      </c>
    </row>
  </sheetData>
  <autoFilter ref="A1:R123"/>
  <conditionalFormatting sqref="P2:P12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28" customWidth="1" min="17" max="17"/>
    <col width="24" customWidth="1" min="18" max="18"/>
    <col width="48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158</v>
      </c>
      <c r="E2" s="5" t="n">
        <v>13</v>
      </c>
      <c r="F2" s="5" t="n">
        <v>6</v>
      </c>
      <c r="G2" s="5" t="n">
        <v>5</v>
      </c>
      <c r="H2" s="5" t="n">
        <v>0</v>
      </c>
      <c r="I2" s="5" t="n">
        <v>100</v>
      </c>
      <c r="J2" s="5" t="n">
        <v>0</v>
      </c>
      <c r="K2" s="5" t="n">
        <v>0</v>
      </c>
      <c r="L2" s="5" t="n">
        <v>19</v>
      </c>
      <c r="M2" s="5" t="n">
        <v>9</v>
      </c>
      <c r="N2" s="5" t="n">
        <v>60</v>
      </c>
      <c r="O2" s="7">
        <f>ROUND((E2*(1+(H2/100)*MAX(0,I2-100)/100)*(1+G2/100))*((D2+F2*'⚙️ Calibrage'!$B$9)/MAX(0.01,1-J2/100))/'⚙️ Calibrage'!$B$10,0)</f>
        <v/>
      </c>
      <c r="P2" s="7">
        <f>IFERROR(VLOOKUP(O2,'⚙️ Calibrage'!$D$2:$E$28,2,TRUE),"?")</f>
        <v/>
      </c>
      <c r="Q2" s="5" t="inlineStr">
        <is>
          <t>sang_slime ×1-1 (15%)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238</v>
      </c>
      <c r="E3" t="n">
        <v>18</v>
      </c>
      <c r="F3" t="n">
        <v>10</v>
      </c>
      <c r="G3" t="n">
        <v>5</v>
      </c>
      <c r="H3" t="n">
        <v>0</v>
      </c>
      <c r="I3" t="n">
        <v>100</v>
      </c>
      <c r="J3" t="n">
        <v>0</v>
      </c>
      <c r="K3" t="n">
        <v>0</v>
      </c>
      <c r="L3" t="n">
        <v>50</v>
      </c>
      <c r="M3" t="n">
        <v>24</v>
      </c>
      <c r="N3" t="n">
        <v>40</v>
      </c>
      <c r="O3" s="7">
        <f>ROUND((E3*(1+(H3/100)*MAX(0,I3-100)/100)*(1+G3/100))*((D3+F3*'⚙️ Calibrage'!$B$9)/MAX(0.01,1-J3/100))/'⚙️ Calibrage'!$B$10,0)</f>
        <v/>
      </c>
      <c r="P3" s="7">
        <f>IFERROR(VLOOKUP(O3,'⚙️ Calibrage'!$D$2:$E$28,2,TRUE),"?")</f>
        <v/>
      </c>
      <c r="Q3" t="inlineStr"/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317</v>
      </c>
      <c r="E4" s="5" t="n">
        <v>22</v>
      </c>
      <c r="F4" s="5" t="n">
        <v>13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81</v>
      </c>
      <c r="M4" s="5" t="n">
        <v>39</v>
      </c>
      <c r="N4" s="5" t="n">
        <v>30</v>
      </c>
      <c r="O4" s="7">
        <f>ROUND((E4*(1+(H4/100)*MAX(0,I4-100)/100)*(1+G4/100))*((D4+F4*'⚙️ Calibrage'!$B$9)/MAX(0.01,1-J4/100))/'⚙️ Calibrage'!$B$10,0)</f>
        <v/>
      </c>
      <c r="P4" s="7">
        <f>IFERROR(VLOOKUP(O4,'⚙️ Calibrage'!$D$2:$E$28,2,TRUE),"?")</f>
        <v/>
      </c>
      <c r="Q4" s="5" t="inlineStr"/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gobelin_chaman</t>
        </is>
      </c>
      <c r="B5" t="inlineStr">
        <is>
          <t>Gobelin Chaman</t>
        </is>
      </c>
      <c r="C5" t="inlineStr">
        <is>
          <t>gobelin</t>
        </is>
      </c>
      <c r="D5" t="n">
        <v>381</v>
      </c>
      <c r="E5" t="n">
        <v>47</v>
      </c>
      <c r="F5" t="n">
        <v>10</v>
      </c>
      <c r="G5" t="n">
        <v>5</v>
      </c>
      <c r="H5" t="n">
        <v>0</v>
      </c>
      <c r="I5" t="n">
        <v>100</v>
      </c>
      <c r="J5" t="n">
        <v>0</v>
      </c>
      <c r="K5" t="n">
        <v>0</v>
      </c>
      <c r="L5" t="n">
        <v>144</v>
      </c>
      <c r="M5" t="n">
        <v>69</v>
      </c>
      <c r="N5" t="n">
        <v>30</v>
      </c>
      <c r="O5" s="7">
        <f>ROUND((E5*(1+(H5/100)*MAX(0,I5-100)/100)*(1+G5/100))*((D5+F5*'⚙️ Calibrage'!$B$9)/MAX(0.01,1-J5/100))/'⚙️ Calibrage'!$B$10,0)</f>
        <v/>
      </c>
      <c r="P5" s="7">
        <f>IFERROR(VLOOKUP(O5,'⚙️ Calibrage'!$D$2:$E$28,2,TRUE),"?")</f>
        <v/>
      </c>
      <c r="Q5" t="inlineStr"/>
      <c r="R5" t="inlineStr">
        <is>
          <t>gobelin_chaman.png</t>
        </is>
      </c>
      <c r="S5" t="inlineStr">
        <is>
          <t>Une créature intelligente.</t>
        </is>
      </c>
    </row>
    <row r="6">
      <c r="A6" s="5" t="inlineStr">
        <is>
          <t>gobelin_ballon</t>
        </is>
      </c>
      <c r="B6" s="5" t="inlineStr">
        <is>
          <t>Gobelin Ballon</t>
        </is>
      </c>
      <c r="C6" s="5" t="inlineStr">
        <is>
          <t>gobelin</t>
        </is>
      </c>
      <c r="D6" s="5" t="n">
        <v>557</v>
      </c>
      <c r="E6" s="5" t="n">
        <v>36</v>
      </c>
      <c r="F6" s="5" t="n">
        <v>23</v>
      </c>
      <c r="G6" s="5" t="n">
        <v>5</v>
      </c>
      <c r="H6" s="5" t="n">
        <v>0</v>
      </c>
      <c r="I6" s="5" t="n">
        <v>100</v>
      </c>
      <c r="J6" s="5" t="n">
        <v>0</v>
      </c>
      <c r="K6" s="5" t="n">
        <v>0</v>
      </c>
      <c r="L6" s="5" t="n">
        <v>175</v>
      </c>
      <c r="M6" s="5" t="n">
        <v>84</v>
      </c>
      <c r="N6" s="5" t="n">
        <v>20</v>
      </c>
      <c r="O6" s="7">
        <f>ROUND((E6*(1+(H6/100)*MAX(0,I6-100)/100)*(1+G6/100))*((D6+F6*'⚙️ Calibrage'!$B$9)/MAX(0.01,1-J6/100))/'⚙️ Calibrage'!$B$10,0)</f>
        <v/>
      </c>
      <c r="P6" s="7">
        <f>IFERROR(VLOOKUP(O6,'⚙️ Calibrage'!$D$2:$E$28,2,TRUE),"?")</f>
        <v/>
      </c>
      <c r="Q6" s="5" t="inlineStr"/>
      <c r="R6" s="5" t="inlineStr">
        <is>
          <t>gobelin_ballon.png</t>
        </is>
      </c>
      <c r="S6" s="5" t="inlineStr">
        <is>
          <t>Un groupe de créatures inventives.</t>
        </is>
      </c>
    </row>
    <row r="7">
      <c r="A7" t="inlineStr">
        <is>
          <t>gobelin_geant</t>
        </is>
      </c>
      <c r="B7" t="inlineStr">
        <is>
          <t>Gobelin Géant</t>
        </is>
      </c>
      <c r="C7" t="inlineStr">
        <is>
          <t>gobelin</t>
        </is>
      </c>
      <c r="D7" t="n">
        <v>955</v>
      </c>
      <c r="E7" t="n">
        <v>25</v>
      </c>
      <c r="F7" t="n">
        <v>40</v>
      </c>
      <c r="G7" t="n">
        <v>5</v>
      </c>
      <c r="H7" t="n">
        <v>0</v>
      </c>
      <c r="I7" t="n">
        <v>100</v>
      </c>
      <c r="J7" t="n">
        <v>0</v>
      </c>
      <c r="K7" t="n">
        <v>0</v>
      </c>
      <c r="L7" t="n">
        <v>206</v>
      </c>
      <c r="M7" t="n">
        <v>99</v>
      </c>
      <c r="N7" t="n">
        <v>20</v>
      </c>
      <c r="O7" s="7">
        <f>ROUND((E7*(1+(H7/100)*MAX(0,I7-100)/100)*(1+G7/100))*((D7+F7*'⚙️ Calibrage'!$B$9)/MAX(0.01,1-J7/100))/'⚙️ Calibrage'!$B$10,0)</f>
        <v/>
      </c>
      <c r="P7" s="7">
        <f>IFERROR(VLOOKUP(O7,'⚙️ Calibrage'!$D$2:$E$28,2,TRUE),"?")</f>
        <v/>
      </c>
      <c r="Q7" t="inlineStr"/>
      <c r="R7" t="inlineStr">
        <is>
          <t>gobelin_geant.png</t>
        </is>
      </c>
      <c r="S7" t="inlineStr">
        <is>
          <t>Une créature imposante.</t>
        </is>
      </c>
    </row>
    <row r="8">
      <c r="A8" s="5" t="inlineStr">
        <is>
          <t>gobelin_runique</t>
        </is>
      </c>
      <c r="B8" s="5" t="inlineStr">
        <is>
          <t>Gobelin Runique</t>
        </is>
      </c>
      <c r="C8" s="5" t="inlineStr">
        <is>
          <t>gobelin</t>
        </is>
      </c>
      <c r="D8" s="5" t="n">
        <v>573</v>
      </c>
      <c r="E8" s="5" t="n">
        <v>68</v>
      </c>
      <c r="F8" s="5" t="n">
        <v>15</v>
      </c>
      <c r="G8" s="5" t="n">
        <v>5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238</v>
      </c>
      <c r="M8" s="5" t="n">
        <v>114</v>
      </c>
      <c r="N8" s="5" t="n">
        <v>20</v>
      </c>
      <c r="O8" s="7">
        <f>ROUND((E8*(1+(H8/100)*MAX(0,I8-100)/100)*(1+G8/100))*((D8+F8*'⚙️ Calibrage'!$B$9)/MAX(0.01,1-J8/100))/'⚙️ Calibrage'!$B$10,0)</f>
        <v/>
      </c>
      <c r="P8" s="7">
        <f>IFERROR(VLOOKUP(O8,'⚙️ Calibrage'!$D$2:$E$28,2,TRUE),"?")</f>
        <v/>
      </c>
      <c r="Q8" s="5" t="inlineStr"/>
      <c r="R8" s="5" t="inlineStr">
        <is>
          <t>gobelin_runique.png</t>
        </is>
      </c>
      <c r="S8" s="5" t="inlineStr">
        <is>
          <t>Une créature mystérieuse.</t>
        </is>
      </c>
    </row>
    <row r="9">
      <c r="A9" t="inlineStr">
        <is>
          <t>gobelin_superieur</t>
        </is>
      </c>
      <c r="B9" t="inlineStr">
        <is>
          <t>Gobelin Supérieur</t>
        </is>
      </c>
      <c r="C9" t="inlineStr">
        <is>
          <t>gobelin</t>
        </is>
      </c>
      <c r="D9" t="n">
        <v>876</v>
      </c>
      <c r="E9" t="n">
        <v>55</v>
      </c>
      <c r="F9" t="n">
        <v>36</v>
      </c>
      <c r="G9" t="n">
        <v>5</v>
      </c>
      <c r="H9" t="n">
        <v>0</v>
      </c>
      <c r="I9" t="n">
        <v>100</v>
      </c>
      <c r="J9" t="n">
        <v>0</v>
      </c>
      <c r="K9" t="n">
        <v>0</v>
      </c>
      <c r="L9" t="n">
        <v>300</v>
      </c>
      <c r="M9" t="n">
        <v>144</v>
      </c>
      <c r="N9" t="n">
        <v>10</v>
      </c>
      <c r="O9" s="7">
        <f>ROUND((E9*(1+(H9/100)*MAX(0,I9-100)/100)*(1+G9/100))*((D9+F9*'⚙️ Calibrage'!$B$9)/MAX(0.01,1-J9/100))/'⚙️ Calibrage'!$B$10,0)</f>
        <v/>
      </c>
      <c r="P9" s="7">
        <f>IFERROR(VLOOKUP(O9,'⚙️ Calibrage'!$D$2:$E$28,2,TRUE),"?")</f>
        <v/>
      </c>
      <c r="Q9" t="inlineStr">
        <is>
          <t>sang_gobelin_hq ×1-1 (15%)</t>
        </is>
      </c>
      <c r="R9" t="inlineStr">
        <is>
          <t>gobelin_superieur.png</t>
        </is>
      </c>
      <c r="S9" t="inlineStr">
        <is>
          <t>Une créature supérieure.</t>
        </is>
      </c>
    </row>
    <row r="10">
      <c r="A10" s="5" t="inlineStr">
        <is>
          <t>gobelin_assassin</t>
        </is>
      </c>
      <c r="B10" s="5" t="inlineStr">
        <is>
          <t>Gobelin Assassin</t>
        </is>
      </c>
      <c r="C10" s="5" t="inlineStr">
        <is>
          <t>gobelin</t>
        </is>
      </c>
      <c r="D10" s="5" t="n">
        <v>564</v>
      </c>
      <c r="E10" s="5" t="n">
        <v>53</v>
      </c>
      <c r="F10" s="5" t="n">
        <v>31</v>
      </c>
      <c r="G10" s="5" t="n">
        <v>9</v>
      </c>
      <c r="H10" s="5" t="n">
        <v>20</v>
      </c>
      <c r="I10" s="5" t="n">
        <v>150</v>
      </c>
      <c r="J10" s="5" t="n">
        <v>0</v>
      </c>
      <c r="K10" s="5" t="n">
        <v>0</v>
      </c>
      <c r="L10" s="5" t="n">
        <v>325</v>
      </c>
      <c r="M10" s="5" t="n">
        <v>156</v>
      </c>
      <c r="N10" s="5" t="n">
        <v>10</v>
      </c>
      <c r="O10" s="7">
        <f>ROUND((E10*(1+(H10/100)*MAX(0,I10-100)/100)*(1+G10/100))*((D10+F10*'⚙️ Calibrage'!$B$9)/MAX(0.01,1-J10/100))/'⚙️ Calibrage'!$B$10,0)</f>
        <v/>
      </c>
      <c r="P10" s="7">
        <f>IFERROR(VLOOKUP(O10,'⚙️ Calibrage'!$D$2:$E$28,2,TRUE),"?")</f>
        <v/>
      </c>
      <c r="Q10" s="5" t="inlineStr">
        <is>
          <t>sang_gobelin_hq ×1-1 (15%)</t>
        </is>
      </c>
      <c r="R10" s="5" t="inlineStr">
        <is>
          <t>gobelin_assassin.png</t>
        </is>
      </c>
      <c r="S10" s="5" t="inlineStr">
        <is>
          <t>Une créature discrète.</t>
        </is>
      </c>
    </row>
    <row r="11">
      <c r="A11" t="inlineStr">
        <is>
          <t>squelette</t>
        </is>
      </c>
      <c r="B11" t="inlineStr">
        <is>
          <t>Squelette</t>
        </is>
      </c>
      <c r="C11" t="inlineStr">
        <is>
          <t>mort-vivant</t>
        </is>
      </c>
      <c r="D11" t="n">
        <v>714</v>
      </c>
      <c r="E11" t="n">
        <v>45</v>
      </c>
      <c r="F11" t="n">
        <v>29</v>
      </c>
      <c r="G11" t="n">
        <v>5</v>
      </c>
      <c r="H11" t="n">
        <v>0</v>
      </c>
      <c r="I11" t="n">
        <v>100</v>
      </c>
      <c r="J11" t="n">
        <v>0</v>
      </c>
      <c r="K11" t="n">
        <v>0</v>
      </c>
      <c r="L11" t="n">
        <v>237</v>
      </c>
      <c r="M11" t="n">
        <v>114</v>
      </c>
      <c r="N11" t="n">
        <v>25</v>
      </c>
      <c r="O11" s="7">
        <f>ROUND((E11*(1+(H11/100)*MAX(0,I11-100)/100)*(1+G11/100))*((D11+F11*'⚙️ Calibrage'!$B$9)/MAX(0.01,1-J11/100))/'⚙️ Calibrage'!$B$10,0)</f>
        <v/>
      </c>
      <c r="P11" s="7">
        <f>IFERROR(VLOOKUP(O11,'⚙️ Calibrage'!$D$2:$E$28,2,TRUE),"?")</f>
        <v/>
      </c>
      <c r="Q11" t="inlineStr"/>
      <c r="R11" t="inlineStr">
        <is>
          <t>squelette.png</t>
        </is>
      </c>
      <c r="S11" t="inlineStr">
        <is>
          <t>Un pantin d'os réanimé. Le premier pas dans le royaume des morts.</t>
        </is>
      </c>
    </row>
    <row r="12">
      <c r="A12" s="5" t="inlineStr">
        <is>
          <t>zombie</t>
        </is>
      </c>
      <c r="B12" s="5" t="inlineStr">
        <is>
          <t>Zombie</t>
        </is>
      </c>
      <c r="C12" s="5" t="inlineStr">
        <is>
          <t>mort-vivant</t>
        </is>
      </c>
      <c r="D12" s="5" t="n">
        <v>1209</v>
      </c>
      <c r="E12" s="5" t="n">
        <v>30</v>
      </c>
      <c r="F12" s="5" t="n">
        <v>51</v>
      </c>
      <c r="G12" s="5" t="n">
        <v>5</v>
      </c>
      <c r="H12" s="5" t="n">
        <v>0</v>
      </c>
      <c r="I12" s="5" t="n">
        <v>100</v>
      </c>
      <c r="J12" s="5" t="n">
        <v>0</v>
      </c>
      <c r="K12" s="5" t="n">
        <v>0</v>
      </c>
      <c r="L12" s="5" t="n">
        <v>273</v>
      </c>
      <c r="M12" s="5" t="n">
        <v>131</v>
      </c>
      <c r="N12" s="5" t="n">
        <v>20</v>
      </c>
      <c r="O12" s="7">
        <f>ROUND((E12*(1+(H12/100)*MAX(0,I12-100)/100)*(1+G12/100))*((D12+F12*'⚙️ Calibrage'!$B$9)/MAX(0.01,1-J12/100))/'⚙️ Calibrage'!$B$10,0)</f>
        <v/>
      </c>
      <c r="P12" s="7">
        <f>IFERROR(VLOOKUP(O12,'⚙️ Calibrage'!$D$2:$E$28,2,TRUE),"?")</f>
        <v/>
      </c>
      <c r="Q12" s="5" t="inlineStr"/>
      <c r="R12" s="5" t="inlineStr">
        <is>
          <t>zombie.png</t>
        </is>
      </c>
      <c r="S12" s="5" t="inlineStr">
        <is>
          <t>Une carcasse putride et lente, mais coriace.</t>
        </is>
      </c>
    </row>
    <row r="13">
      <c r="A13" t="inlineStr">
        <is>
          <t>fantome</t>
        </is>
      </c>
      <c r="B13" t="inlineStr">
        <is>
          <t>Fantôme</t>
        </is>
      </c>
      <c r="C13" t="inlineStr">
        <is>
          <t>mort-vivant</t>
        </is>
      </c>
      <c r="D13" t="n">
        <v>668</v>
      </c>
      <c r="E13" t="n">
        <v>62</v>
      </c>
      <c r="F13" t="n">
        <v>36</v>
      </c>
      <c r="G13" t="n">
        <v>9</v>
      </c>
      <c r="H13" t="n">
        <v>20</v>
      </c>
      <c r="I13" t="n">
        <v>150</v>
      </c>
      <c r="J13" t="n">
        <v>0</v>
      </c>
      <c r="K13" t="n">
        <v>0</v>
      </c>
      <c r="L13" t="n">
        <v>393</v>
      </c>
      <c r="M13" t="n">
        <v>189</v>
      </c>
      <c r="N13" t="n">
        <v>15</v>
      </c>
      <c r="O13" s="7">
        <f>ROUND((E13*(1+(H13/100)*MAX(0,I13-100)/100)*(1+G13/100))*((D13+F13*'⚙️ Calibrage'!$B$9)/MAX(0.01,1-J13/100))/'⚙️ Calibrage'!$B$10,0)</f>
        <v/>
      </c>
      <c r="P13" s="7">
        <f>IFERROR(VLOOKUP(O13,'⚙️ Calibrage'!$D$2:$E$28,2,TRUE),"?")</f>
        <v/>
      </c>
      <c r="Q13" t="inlineStr"/>
      <c r="R13" t="inlineStr">
        <is>
          <t>fantome.png</t>
        </is>
      </c>
      <c r="S13" t="inlineStr">
        <is>
          <t>Une âme errante insaisissable qui glisse entre les coups.</t>
        </is>
      </c>
    </row>
    <row r="14">
      <c r="A14" s="5" t="inlineStr">
        <is>
          <t>momie</t>
        </is>
      </c>
      <c r="B14" s="5" t="inlineStr">
        <is>
          <t>Momie</t>
        </is>
      </c>
      <c r="C14" s="5" t="inlineStr">
        <is>
          <t>mort-vivant</t>
        </is>
      </c>
      <c r="D14" s="5" t="n">
        <v>1691</v>
      </c>
      <c r="E14" s="5" t="n">
        <v>42</v>
      </c>
      <c r="F14" s="5" t="n">
        <v>72</v>
      </c>
      <c r="G14" s="5" t="n">
        <v>5</v>
      </c>
      <c r="H14" s="5" t="n">
        <v>0</v>
      </c>
      <c r="I14" s="5" t="n">
        <v>100</v>
      </c>
      <c r="J14" s="5" t="n">
        <v>0</v>
      </c>
      <c r="K14" s="5" t="n">
        <v>0</v>
      </c>
      <c r="L14" s="5" t="n">
        <v>399</v>
      </c>
      <c r="M14" s="5" t="n">
        <v>191</v>
      </c>
      <c r="N14" s="5" t="n">
        <v>10</v>
      </c>
      <c r="O14" s="7">
        <f>ROUND((E14*(1+(H14/100)*MAX(0,I14-100)/100)*(1+G14/100))*((D14+F14*'⚙️ Calibrage'!$B$9)/MAX(0.01,1-J14/100))/'⚙️ Calibrage'!$B$10,0)</f>
        <v/>
      </c>
      <c r="P14" s="7">
        <f>IFERROR(VLOOKUP(O14,'⚙️ Calibrage'!$D$2:$E$28,2,TRUE),"?")</f>
        <v/>
      </c>
      <c r="Q14" s="5" t="inlineStr"/>
      <c r="R14" s="5" t="inlineStr">
        <is>
          <t>momie.png</t>
        </is>
      </c>
      <c r="S14" s="5" t="inlineStr">
        <is>
          <t>Un corps embaumé aux bandelettes maudites, quasi increvable.</t>
        </is>
      </c>
    </row>
    <row r="15">
      <c r="A15" t="inlineStr">
        <is>
          <t>gargouille</t>
        </is>
      </c>
      <c r="B15" t="inlineStr">
        <is>
          <t>Gargouille</t>
        </is>
      </c>
      <c r="C15" t="inlineStr">
        <is>
          <t>mort-vivant</t>
        </is>
      </c>
      <c r="D15" t="n">
        <v>1020</v>
      </c>
      <c r="E15" t="n">
        <v>116</v>
      </c>
      <c r="F15" t="n">
        <v>26</v>
      </c>
      <c r="G15" t="n">
        <v>5</v>
      </c>
      <c r="H15" t="n">
        <v>0</v>
      </c>
      <c r="I15" t="n">
        <v>100</v>
      </c>
      <c r="J15" t="n">
        <v>0</v>
      </c>
      <c r="K15" t="n">
        <v>0</v>
      </c>
      <c r="L15" t="n">
        <v>456</v>
      </c>
      <c r="M15" t="n">
        <v>219</v>
      </c>
      <c r="N15" t="n">
        <v>7</v>
      </c>
      <c r="O15" s="7">
        <f>ROUND((E15*(1+(H15/100)*MAX(0,I15-100)/100)*(1+G15/100))*((D15+F15*'⚙️ Calibrage'!$B$9)/MAX(0.01,1-J15/100))/'⚙️ Calibrage'!$B$10,0)</f>
        <v/>
      </c>
      <c r="P15" s="7">
        <f>IFERROR(VLOOKUP(O15,'⚙️ Calibrage'!$D$2:$E$28,2,TRUE),"?")</f>
        <v/>
      </c>
      <c r="Q15" t="inlineStr"/>
      <c r="R15" t="inlineStr">
        <is>
          <t>gargouille.png</t>
        </is>
      </c>
      <c r="S15" t="inlineStr">
        <is>
          <t>Une statue de pierre animée qui frappe comme un bélier.</t>
        </is>
      </c>
    </row>
    <row r="16">
      <c r="A16" s="5" t="inlineStr">
        <is>
          <t>liche_maudite</t>
        </is>
      </c>
      <c r="B16" s="5" t="inlineStr">
        <is>
          <t>Liche maudite</t>
        </is>
      </c>
      <c r="C16" s="5" t="inlineStr">
        <is>
          <t>mort-vivant</t>
        </is>
      </c>
      <c r="D16" s="5" t="n">
        <v>1193</v>
      </c>
      <c r="E16" s="5" t="n">
        <v>135</v>
      </c>
      <c r="F16" s="5" t="n">
        <v>30</v>
      </c>
      <c r="G16" s="5" t="n">
        <v>5</v>
      </c>
      <c r="H16" s="5" t="n">
        <v>0</v>
      </c>
      <c r="I16" s="5" t="n">
        <v>100</v>
      </c>
      <c r="J16" s="5" t="n">
        <v>0</v>
      </c>
      <c r="K16" s="5" t="n">
        <v>0</v>
      </c>
      <c r="L16" s="5" t="n">
        <v>541</v>
      </c>
      <c r="M16" s="5" t="n">
        <v>260</v>
      </c>
      <c r="N16" s="5" t="n">
        <v>4</v>
      </c>
      <c r="O16" s="7">
        <f>ROUND((E16*(1+(H16/100)*MAX(0,I16-100)/100)*(1+G16/100))*((D16+F16*'⚙️ Calibrage'!$B$9)/MAX(0.01,1-J16/100))/'⚙️ Calibrage'!$B$10,0)</f>
        <v/>
      </c>
      <c r="P16" s="7">
        <f>IFERROR(VLOOKUP(O16,'⚙️ Calibrage'!$D$2:$E$28,2,TRUE),"?")</f>
        <v/>
      </c>
      <c r="Q16" s="5" t="inlineStr"/>
      <c r="R16" s="5" t="inlineStr">
        <is>
          <t>liche_maudite.png</t>
        </is>
      </c>
      <c r="S16" s="5" t="inlineStr">
        <is>
          <t>Un sorcier mort-vivant dont la magie noire dévaste.</t>
        </is>
      </c>
    </row>
    <row r="17">
      <c r="A17" t="inlineStr">
        <is>
          <t>banshee</t>
        </is>
      </c>
      <c r="B17" t="inlineStr">
        <is>
          <t>Banshee</t>
        </is>
      </c>
      <c r="C17" t="inlineStr">
        <is>
          <t>mort-vivant</t>
        </is>
      </c>
      <c r="D17" t="n">
        <v>1188</v>
      </c>
      <c r="E17" t="n">
        <v>107</v>
      </c>
      <c r="F17" t="n">
        <v>65</v>
      </c>
      <c r="G17" t="n">
        <v>9</v>
      </c>
      <c r="H17" t="n">
        <v>20</v>
      </c>
      <c r="I17" t="n">
        <v>150</v>
      </c>
      <c r="J17" t="n">
        <v>0</v>
      </c>
      <c r="K17" t="n">
        <v>0</v>
      </c>
      <c r="L17" t="n">
        <v>733</v>
      </c>
      <c r="M17" t="n">
        <v>352</v>
      </c>
      <c r="N17" t="n">
        <v>2</v>
      </c>
      <c r="O17" s="7">
        <f>ROUND((E17*(1+(H17/100)*MAX(0,I17-100)/100)*(1+G17/100))*((D17+F17*'⚙️ Calibrage'!$B$9)/MAX(0.01,1-J17/100))/'⚙️ Calibrage'!$B$10,0)</f>
        <v/>
      </c>
      <c r="P17" s="7">
        <f>IFERROR(VLOOKUP(O17,'⚙️ Calibrage'!$D$2:$E$28,2,TRUE),"?")</f>
        <v/>
      </c>
      <c r="Q17" t="inlineStr"/>
      <c r="R17" t="inlineStr">
        <is>
          <t>banshee.png</t>
        </is>
      </c>
      <c r="S17" t="inlineStr">
        <is>
          <t>Un spectre hurlant dont le cri glaçant transperce l'âme.</t>
        </is>
      </c>
    </row>
  </sheetData>
  <autoFilter ref="A1:S17"/>
  <conditionalFormatting sqref="O2:O1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0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31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potion_soin_i</t>
        </is>
      </c>
      <c r="B2" s="5" t="inlineStr">
        <is>
          <t>Potion de soin I</t>
        </is>
      </c>
      <c r="C2" s="5" t="inlineStr">
        <is>
          <t>common</t>
        </is>
      </c>
      <c r="D2" s="5" t="inlineStr">
        <is>
          <t>heal_percent</t>
        </is>
      </c>
      <c r="E2" s="5" t="n">
        <v>50</v>
      </c>
      <c r="F2" s="5" t="n">
        <v>8</v>
      </c>
      <c r="G2" s="5" t="n">
        <v>30</v>
      </c>
      <c r="H2" s="5" t="inlineStr">
        <is>
          <t>Restaure 50% des PV maximum.</t>
        </is>
      </c>
    </row>
    <row r="3">
      <c r="A3" t="inlineStr">
        <is>
          <t>potion_soin_ii</t>
        </is>
      </c>
      <c r="B3" t="inlineStr">
        <is>
          <t>Potion de soin II</t>
        </is>
      </c>
      <c r="C3" t="inlineStr">
        <is>
          <t>uncommon</t>
        </is>
      </c>
      <c r="D3" t="inlineStr">
        <is>
          <t>heal_percent</t>
        </is>
      </c>
      <c r="E3" t="n">
        <v>75</v>
      </c>
      <c r="F3" t="n">
        <v>18</v>
      </c>
      <c r="G3" t="n">
        <v>70</v>
      </c>
      <c r="H3" t="inlineStr">
        <is>
          <t>Restaure 75% des PV maximum.</t>
        </is>
      </c>
    </row>
    <row r="4">
      <c r="A4" s="5" t="inlineStr">
        <is>
          <t>potion_soin_iii</t>
        </is>
      </c>
      <c r="B4" s="5" t="inlineStr">
        <is>
          <t>Potion de soin III</t>
        </is>
      </c>
      <c r="C4" s="5" t="inlineStr">
        <is>
          <t>rare</t>
        </is>
      </c>
      <c r="D4" s="5" t="inlineStr">
        <is>
          <t>heal_percent</t>
        </is>
      </c>
      <c r="E4" s="5" t="n">
        <v>100</v>
      </c>
      <c r="F4" s="5" t="n">
        <v>40</v>
      </c>
      <c r="G4" s="5" t="n">
        <v>150</v>
      </c>
      <c r="H4" s="5" t="inlineStr">
        <is>
          <t>Restaure 100% des PV maximum.</t>
        </is>
      </c>
    </row>
  </sheetData>
  <autoFilter ref="A1:H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slime_gel</t>
        </is>
      </c>
      <c r="B2" s="5" t="inlineStr">
        <is>
          <t>Gelée de Slime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2</v>
      </c>
      <c r="G2" s="5" t="n">
        <v>0</v>
      </c>
      <c r="H2" s="5" t="inlineStr">
        <is>
          <t>Une matière gélatineuse récupérée sur un slime.</t>
        </is>
      </c>
    </row>
    <row r="3">
      <c r="A3" t="inlineStr">
        <is>
          <t>gobelin_tooth</t>
        </is>
      </c>
      <c r="B3" t="inlineStr">
        <is>
          <t>Dent de Gobelin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2</v>
      </c>
      <c r="G3" t="n">
        <v>0</v>
      </c>
      <c r="H3" t="inlineStr">
        <is>
          <t>Une dent récupérée sur un gobelin.</t>
        </is>
      </c>
    </row>
    <row r="4">
      <c r="A4" s="5" t="inlineStr">
        <is>
          <t>iron_ingot</t>
        </is>
      </c>
      <c r="B4" s="5" t="inlineStr">
        <is>
          <t>Lingot de fer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5</v>
      </c>
      <c r="G4" s="5" t="n">
        <v>0</v>
      </c>
      <c r="H4" s="5" t="inlineStr">
        <is>
          <t>Métal de base, vendu par les marchands.</t>
        </is>
      </c>
    </row>
    <row r="5">
      <c r="A5" t="inlineStr">
        <is>
          <t>leather_strip</t>
        </is>
      </c>
      <c r="B5" t="inlineStr">
        <is>
          <t>Lanière de cuir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3</v>
      </c>
      <c r="G5" t="n">
        <v>0</v>
      </c>
      <c r="H5" t="inlineStr">
        <is>
          <t>Bande de cuir tannée, utile pour la maroquinerie.</t>
        </is>
      </c>
    </row>
    <row r="6">
      <c r="A6" s="5" t="inlineStr">
        <is>
          <t>linen_cloth</t>
        </is>
      </c>
      <c r="B6" s="5" t="inlineStr">
        <is>
          <t>Toile de lin</t>
        </is>
      </c>
      <c r="C6" s="5" t="inlineStr">
        <is>
          <t>common</t>
        </is>
      </c>
      <c r="D6" s="5" t="inlineStr">
        <is>
          <t>oui</t>
        </is>
      </c>
      <c r="E6" s="5" t="inlineStr">
        <is>
          <t>∞</t>
        </is>
      </c>
      <c r="F6" s="5" t="n">
        <v>3</v>
      </c>
      <c r="G6" s="5" t="n">
        <v>0</v>
      </c>
      <c r="H6" s="5" t="inlineStr">
        <is>
          <t>Une toile résistante pour vêtements et capes.</t>
        </is>
      </c>
    </row>
    <row r="7">
      <c r="A7" t="inlineStr">
        <is>
          <t>polished_stone</t>
        </is>
      </c>
      <c r="B7" t="inlineStr">
        <is>
          <t>Pierre polie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4</v>
      </c>
      <c r="G7" t="n">
        <v>0</v>
      </c>
      <c r="H7" t="inlineStr">
        <is>
          <t>Pierre travaillée, base des bijoux modestes.</t>
        </is>
      </c>
    </row>
    <row r="8">
      <c r="A8" s="5" t="inlineStr">
        <is>
          <t>wood_log</t>
        </is>
      </c>
      <c r="B8" s="5" t="inlineStr">
        <is>
          <t>Bûche de bois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1</v>
      </c>
      <c r="G8" s="5" t="n">
        <v>0</v>
      </c>
      <c r="H8" s="5" t="inlineStr">
        <is>
          <t>Bois brut. Sera plus tard récolté via le métier de bûcheron.</t>
        </is>
      </c>
    </row>
    <row r="9">
      <c r="A9" t="inlineStr">
        <is>
          <t>sang_gobelin_hq</t>
        </is>
      </c>
      <c r="B9" t="inlineStr">
        <is>
          <t>Sang de gobelin de haute qualité</t>
        </is>
      </c>
      <c r="C9" t="inlineStr">
        <is>
          <t>rare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>
        <is>
          <t>Sang rare prélevé sur les gobelins d'élite. Infuse l'équipement gobelin.</t>
        </is>
      </c>
    </row>
    <row r="10">
      <c r="A10" s="5" t="inlineStr">
        <is>
          <t>sang_slime</t>
        </is>
      </c>
      <c r="B10" s="5" t="inlineStr">
        <is>
          <t>Sang de slime</t>
        </is>
      </c>
      <c r="C10" s="5" t="inlineStr">
        <is>
          <t>rare</t>
        </is>
      </c>
      <c r="D10" s="5" t="inlineStr">
        <is>
          <t>oui</t>
        </is>
      </c>
      <c r="E10" s="5" t="inlineStr">
        <is>
          <t>∞</t>
        </is>
      </c>
      <c r="F10" s="5" t="n">
        <v>0</v>
      </c>
      <c r="G10" s="5" t="n">
        <v>0</v>
      </c>
      <c r="H10" s="5" t="inlineStr">
        <is>
          <t>Essence visqueuse rare distillée des slimes. Infuse l'équipement slime.</t>
        </is>
      </c>
    </row>
    <row r="11">
      <c r="A11" t="inlineStr">
        <is>
          <t>infuseur</t>
        </is>
      </c>
      <c r="B11" t="inlineStr">
        <is>
          <t>Infuseur</t>
        </is>
      </c>
      <c r="C11" t="inlineStr">
        <is>
          <t>uncommon</t>
        </is>
      </c>
      <c r="D11" t="inlineStr">
        <is>
          <t>oui</t>
        </is>
      </c>
      <c r="E11" t="inlineStr">
        <is>
          <t>∞</t>
        </is>
      </c>
      <c r="F11" t="n">
        <v>0</v>
      </c>
      <c r="G11" t="n">
        <v>1000</v>
      </c>
      <c r="H11" t="inlineStr">
        <is>
          <t>Catalyseur d'infusion. Améliore un équipement de panoplie. Achetable en boutique.</t>
        </is>
      </c>
    </row>
    <row r="12">
      <c r="A12" s="5" t="inlineStr">
        <is>
          <t>os_ancien</t>
        </is>
      </c>
      <c r="B12" s="5" t="inlineStr">
        <is>
          <t>Os ancien</t>
        </is>
      </c>
      <c r="C12" s="5" t="inlineStr">
        <is>
          <t>uncommon</t>
        </is>
      </c>
      <c r="D12" s="5" t="inlineStr">
        <is>
          <t>oui</t>
        </is>
      </c>
      <c r="E12" s="5" t="n">
        <v>999</v>
      </c>
      <c r="F12" s="5" t="n">
        <v>0</v>
      </c>
      <c r="G12" s="5" t="n">
        <v>0</v>
      </c>
      <c r="H12" s="5" t="inlineStr">
        <is>
          <t>Ossement imprégné d'énergie nécrotique, laissé par les morts-vivants. Matériau de craft.</t>
        </is>
      </c>
    </row>
  </sheetData>
  <autoFilter ref="A1:H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28" customWidth="1" min="2" max="2"/>
    <col width="29" customWidth="1" min="3" max="3"/>
    <col width="20" customWidth="1" min="4" max="4"/>
    <col width="16" customWidth="1" min="5" max="5"/>
    <col width="19" customWidth="1" min="6" max="6"/>
    <col width="27" customWidth="1" min="7" max="7"/>
  </cols>
  <sheetData>
    <row r="1" ht="22" customHeight="1">
      <c r="A1" s="3" t="inlineStr">
        <is>
          <t>Code recette</t>
        </is>
      </c>
      <c r="B1" s="3" t="inlineStr">
        <is>
          <t>Nom</t>
        </is>
      </c>
      <c r="C1" s="3" t="inlineStr">
        <is>
          <t>Résultat (item)</t>
        </is>
      </c>
      <c r="D1" s="3" t="inlineStr">
        <is>
          <t>Catégorie résultat</t>
        </is>
      </c>
      <c r="E1" s="3" t="inlineStr">
        <is>
          <t>Slot résultat</t>
        </is>
      </c>
      <c r="F1" s="3" t="inlineStr">
        <is>
          <t>Quantité produite</t>
        </is>
      </c>
      <c r="G1" s="3" t="inlineStr">
        <is>
          <t>Ingrédients</t>
        </is>
      </c>
    </row>
    <row r="2">
      <c r="A2" s="5" t="inlineStr">
        <is>
          <t>leather_cap_recipe</t>
        </is>
      </c>
      <c r="B2" s="5" t="inlineStr">
        <is>
          <t>Casque en cuir</t>
        </is>
      </c>
      <c r="C2" s="5" t="inlineStr">
        <is>
          <t>leather_cap</t>
        </is>
      </c>
      <c r="D2" s="5" t="inlineStr">
        <is>
          <t>helmet</t>
        </is>
      </c>
      <c r="E2" s="5" t="inlineStr">
        <is>
          <t>casque</t>
        </is>
      </c>
      <c r="F2" s="5" t="n">
        <v>1</v>
      </c>
      <c r="G2" s="8" t="inlineStr">
        <is>
          <t>leather_strip ×3
linen_cloth ×1</t>
        </is>
      </c>
    </row>
    <row r="3">
      <c r="A3" t="inlineStr">
        <is>
          <t>leather_chest_recipe</t>
        </is>
      </c>
      <c r="B3" t="inlineStr">
        <is>
          <t>Plastron en cuir</t>
        </is>
      </c>
      <c r="C3" t="inlineStr">
        <is>
          <t>leather_chest</t>
        </is>
      </c>
      <c r="D3" t="inlineStr">
        <is>
          <t>chest</t>
        </is>
      </c>
      <c r="E3" t="inlineStr">
        <is>
          <t>plastron</t>
        </is>
      </c>
      <c r="F3" t="n">
        <v>1</v>
      </c>
      <c r="G3" s="9" t="inlineStr">
        <is>
          <t>leather_strip ×5
linen_cloth ×2</t>
        </is>
      </c>
    </row>
    <row r="4">
      <c r="A4" s="5" t="inlineStr">
        <is>
          <t>leather_legs_recipe</t>
        </is>
      </c>
      <c r="B4" s="5" t="inlineStr">
        <is>
          <t>Jambières en cuir</t>
        </is>
      </c>
      <c r="C4" s="5" t="inlineStr">
        <is>
          <t>leather_legs</t>
        </is>
      </c>
      <c r="D4" s="5" t="inlineStr">
        <is>
          <t>legs</t>
        </is>
      </c>
      <c r="E4" s="5" t="inlineStr">
        <is>
          <t>jambieres</t>
        </is>
      </c>
      <c r="F4" s="5" t="n">
        <v>1</v>
      </c>
      <c r="G4" s="8" t="inlineStr">
        <is>
          <t>leather_strip ×4
linen_cloth ×2</t>
        </is>
      </c>
    </row>
    <row r="5">
      <c r="A5" t="inlineStr">
        <is>
          <t>leather_boots_recipe</t>
        </is>
      </c>
      <c r="B5" t="inlineStr">
        <is>
          <t>Bottes en cuir</t>
        </is>
      </c>
      <c r="C5" t="inlineStr">
        <is>
          <t>leather_boots</t>
        </is>
      </c>
      <c r="D5" t="inlineStr">
        <is>
          <t>boots</t>
        </is>
      </c>
      <c r="E5" t="inlineStr">
        <is>
          <t>bottes</t>
        </is>
      </c>
      <c r="F5" t="n">
        <v>1</v>
      </c>
      <c r="G5" t="inlineStr">
        <is>
          <t>leather_strip ×3</t>
        </is>
      </c>
    </row>
    <row r="6">
      <c r="A6" s="5" t="inlineStr">
        <is>
          <t>leather_belt_recipe</t>
        </is>
      </c>
      <c r="B6" s="5" t="inlineStr">
        <is>
          <t>Ceinture en cuir</t>
        </is>
      </c>
      <c r="C6" s="5" t="inlineStr">
        <is>
          <t>leather_belt</t>
        </is>
      </c>
      <c r="D6" s="5" t="inlineStr">
        <is>
          <t>belt</t>
        </is>
      </c>
      <c r="E6" s="5" t="inlineStr">
        <is>
          <t>ceinture</t>
        </is>
      </c>
      <c r="F6" s="5" t="n">
        <v>1</v>
      </c>
      <c r="G6" s="8" t="inlineStr">
        <is>
          <t>leather_strip ×2
iron_ingot ×1</t>
        </is>
      </c>
    </row>
    <row r="7">
      <c r="A7" t="inlineStr">
        <is>
          <t>leather_bracelet_recipe</t>
        </is>
      </c>
      <c r="B7" t="inlineStr">
        <is>
          <t>Bracelet en cuir</t>
        </is>
      </c>
      <c r="C7" t="inlineStr">
        <is>
          <t>leather_bracelet</t>
        </is>
      </c>
      <c r="D7" t="inlineStr">
        <is>
          <t>bracelet</t>
        </is>
      </c>
      <c r="E7" t="inlineStr">
        <is>
          <t>bracelet</t>
        </is>
      </c>
      <c r="F7" t="n">
        <v>1</v>
      </c>
      <c r="G7" t="inlineStr">
        <is>
          <t>leather_strip ×2</t>
        </is>
      </c>
    </row>
    <row r="8">
      <c r="A8" s="5" t="inlineStr">
        <is>
          <t>linen_cape_recipe</t>
        </is>
      </c>
      <c r="B8" s="5" t="inlineStr">
        <is>
          <t>Cape en lin</t>
        </is>
      </c>
      <c r="C8" s="5" t="inlineStr">
        <is>
          <t>linen_cape</t>
        </is>
      </c>
      <c r="D8" s="5" t="inlineStr">
        <is>
          <t>cape</t>
        </is>
      </c>
      <c r="E8" s="5" t="inlineStr">
        <is>
          <t>cape</t>
        </is>
      </c>
      <c r="F8" s="5" t="n">
        <v>1</v>
      </c>
      <c r="G8" s="8" t="inlineStr">
        <is>
          <t>linen_cloth ×4
leather_strip ×1</t>
        </is>
      </c>
    </row>
    <row r="9">
      <c r="A9" t="inlineStr">
        <is>
          <t>stone_earring_recipe</t>
        </is>
      </c>
      <c r="B9" t="inlineStr">
        <is>
          <t>Boucle de pierre polie</t>
        </is>
      </c>
      <c r="C9" t="inlineStr">
        <is>
          <t>stone_earring</t>
        </is>
      </c>
      <c r="D9" t="inlineStr">
        <is>
          <t>earring</t>
        </is>
      </c>
      <c r="E9" t="inlineStr">
        <is>
          <t>boucle_oreille</t>
        </is>
      </c>
      <c r="F9" t="n">
        <v>1</v>
      </c>
      <c r="G9" s="9" t="inlineStr">
        <is>
          <t>polished_stone ×2
iron_ingot ×1</t>
        </is>
      </c>
    </row>
    <row r="10">
      <c r="A10" s="5" t="inlineStr">
        <is>
          <t>wood_sword_recipe</t>
        </is>
      </c>
      <c r="B10" s="5" t="inlineStr">
        <is>
          <t>Épée en bois</t>
        </is>
      </c>
      <c r="C10" s="5" t="inlineStr">
        <is>
          <t>wood_sword</t>
        </is>
      </c>
      <c r="D10" s="5" t="inlineStr">
        <is>
          <t>weapon</t>
        </is>
      </c>
      <c r="E10" s="5" t="inlineStr">
        <is>
          <t>main_droite</t>
        </is>
      </c>
      <c r="F10" s="5" t="n">
        <v>1</v>
      </c>
      <c r="G10" s="5" t="inlineStr">
        <is>
          <t>wood_log ×3</t>
        </is>
      </c>
    </row>
    <row r="11">
      <c r="A11" t="inlineStr">
        <is>
          <t>wooden_shield_recipe</t>
        </is>
      </c>
      <c r="B11" t="inlineStr">
        <is>
          <t>Bouclier en bois</t>
        </is>
      </c>
      <c r="C11" t="inlineStr">
        <is>
          <t>wooden_shield</t>
        </is>
      </c>
      <c r="D11" t="inlineStr">
        <is>
          <t>shield</t>
        </is>
      </c>
      <c r="E11" t="inlineStr">
        <is>
          <t>main_droite</t>
        </is>
      </c>
      <c r="F11" t="n">
        <v>1</v>
      </c>
      <c r="G11" s="9" t="inlineStr">
        <is>
          <t>wood_log ×4
leather_strip ×1</t>
        </is>
      </c>
    </row>
    <row r="12">
      <c r="A12" s="5" t="inlineStr">
        <is>
          <t>iron_buckler_recipe</t>
        </is>
      </c>
      <c r="B12" s="5" t="inlineStr">
        <is>
          <t>Rondache en fer</t>
        </is>
      </c>
      <c r="C12" s="5" t="inlineStr">
        <is>
          <t>iron_buckler</t>
        </is>
      </c>
      <c r="D12" s="5" t="inlineStr">
        <is>
          <t>shield</t>
        </is>
      </c>
      <c r="E12" s="5" t="inlineStr">
        <is>
          <t>main_droite</t>
        </is>
      </c>
      <c r="F12" s="5" t="n">
        <v>1</v>
      </c>
      <c r="G12" s="8" t="inlineStr">
        <is>
          <t>iron_ingot ×3
leather_strip ×1</t>
        </is>
      </c>
    </row>
    <row r="13">
      <c r="A13" t="inlineStr">
        <is>
          <t>slime_blade_recipe</t>
        </is>
      </c>
      <c r="B13" t="inlineStr">
        <is>
          <t>Lame visqueuse</t>
        </is>
      </c>
      <c r="C13" t="inlineStr">
        <is>
          <t>slime_blade</t>
        </is>
      </c>
      <c r="D13" t="inlineStr">
        <is>
          <t>weapon</t>
        </is>
      </c>
      <c r="E13" t="inlineStr">
        <is>
          <t>main_droite</t>
        </is>
      </c>
      <c r="F13" t="n">
        <v>1</v>
      </c>
      <c r="G13" s="9" t="inlineStr">
        <is>
          <t>slime_gel ×3
wood_sword ×1</t>
        </is>
      </c>
    </row>
    <row r="14">
      <c r="A14" s="5" t="inlineStr">
        <is>
          <t>hunter_dagger_recipe</t>
        </is>
      </c>
      <c r="B14" s="5" t="inlineStr">
        <is>
          <t>Dague du chasseur</t>
        </is>
      </c>
      <c r="C14" s="5" t="inlineStr">
        <is>
          <t>hunter_dagger</t>
        </is>
      </c>
      <c r="D14" s="5" t="inlineStr">
        <is>
          <t>weapon</t>
        </is>
      </c>
      <c r="E14" s="5" t="inlineStr">
        <is>
          <t>main_droite</t>
        </is>
      </c>
      <c r="F14" s="5" t="n">
        <v>1</v>
      </c>
      <c r="G14" s="8" t="inlineStr">
        <is>
          <t>iron_ingot ×2
leather_strip ×1</t>
        </is>
      </c>
    </row>
    <row r="15">
      <c r="A15" t="inlineStr">
        <is>
          <t>gobelin_axe_recipe</t>
        </is>
      </c>
      <c r="B15" t="inlineStr">
        <is>
          <t>Hache gobeline</t>
        </is>
      </c>
      <c r="C15" t="inlineStr">
        <is>
          <t>gobelin_axe</t>
        </is>
      </c>
      <c r="D15" t="inlineStr">
        <is>
          <t>weapon</t>
        </is>
      </c>
      <c r="E15" t="inlineStr">
        <is>
          <t>main_droite</t>
        </is>
      </c>
      <c r="F15" t="n">
        <v>1</v>
      </c>
      <c r="G15" s="9" t="inlineStr">
        <is>
          <t>gobelin_tooth ×4
iron_ingot ×2
wood_log ×1</t>
        </is>
      </c>
    </row>
    <row r="16">
      <c r="A16" s="5" t="inlineStr">
        <is>
          <t>iron_helmet_recipe</t>
        </is>
      </c>
      <c r="B16" s="5" t="inlineStr">
        <is>
          <t>Casque de fer</t>
        </is>
      </c>
      <c r="C16" s="5" t="inlineStr">
        <is>
          <t>iron_helmet</t>
        </is>
      </c>
      <c r="D16" s="5" t="inlineStr">
        <is>
          <t>helmet</t>
        </is>
      </c>
      <c r="E16" s="5" t="inlineStr">
        <is>
          <t>casque</t>
        </is>
      </c>
      <c r="F16" s="5" t="n">
        <v>1</v>
      </c>
      <c r="G16" s="8" t="inlineStr">
        <is>
          <t>iron_ingot ×4
leather_strip ×1</t>
        </is>
      </c>
    </row>
    <row r="17">
      <c r="A17" t="inlineStr">
        <is>
          <t>iron_chest_recipe</t>
        </is>
      </c>
      <c r="B17" t="inlineStr">
        <is>
          <t>Plastron de fer</t>
        </is>
      </c>
      <c r="C17" t="inlineStr">
        <is>
          <t>iron_chest</t>
        </is>
      </c>
      <c r="D17" t="inlineStr">
        <is>
          <t>chest</t>
        </is>
      </c>
      <c r="E17" t="inlineStr">
        <is>
          <t>plastron</t>
        </is>
      </c>
      <c r="F17" t="n">
        <v>1</v>
      </c>
      <c r="G17" s="9" t="inlineStr">
        <is>
          <t>iron_ingot ×6
leather_strip ×2</t>
        </is>
      </c>
    </row>
    <row r="18">
      <c r="A18" s="5" t="inlineStr">
        <is>
          <t>iron_legs_recipe</t>
        </is>
      </c>
      <c r="B18" s="5" t="inlineStr">
        <is>
          <t>Jambières de fer</t>
        </is>
      </c>
      <c r="C18" s="5" t="inlineStr">
        <is>
          <t>iron_legs</t>
        </is>
      </c>
      <c r="D18" s="5" t="inlineStr">
        <is>
          <t>legs</t>
        </is>
      </c>
      <c r="E18" s="5" t="inlineStr">
        <is>
          <t>jambieres</t>
        </is>
      </c>
      <c r="F18" s="5" t="n">
        <v>1</v>
      </c>
      <c r="G18" s="8" t="inlineStr">
        <is>
          <t>iron_ingot ×5
leather_strip ×2</t>
        </is>
      </c>
    </row>
    <row r="19">
      <c r="A19" t="inlineStr">
        <is>
          <t>iron_boots_recipe</t>
        </is>
      </c>
      <c r="B19" t="inlineStr">
        <is>
          <t>Bottes en fer</t>
        </is>
      </c>
      <c r="C19" t="inlineStr">
        <is>
          <t>iron_boots</t>
        </is>
      </c>
      <c r="D19" t="inlineStr">
        <is>
          <t>boots</t>
        </is>
      </c>
      <c r="E19" t="inlineStr">
        <is>
          <t>bottes</t>
        </is>
      </c>
      <c r="F19" t="n">
        <v>1</v>
      </c>
      <c r="G19" s="9" t="inlineStr">
        <is>
          <t>iron_ingot ×4
leather_strip ×1</t>
        </is>
      </c>
    </row>
    <row r="20">
      <c r="A20" s="5" t="inlineStr">
        <is>
          <t>gobelin_crown_recipe</t>
        </is>
      </c>
      <c r="B20" s="5" t="inlineStr">
        <is>
          <t>Couronne gobeline</t>
        </is>
      </c>
      <c r="C20" s="5" t="inlineStr">
        <is>
          <t>gobelin_crown</t>
        </is>
      </c>
      <c r="D20" s="5" t="inlineStr">
        <is>
          <t>helmet</t>
        </is>
      </c>
      <c r="E20" s="5" t="inlineStr">
        <is>
          <t>casque</t>
        </is>
      </c>
      <c r="F20" s="5" t="n">
        <v>1</v>
      </c>
      <c r="G20" s="8" t="inlineStr">
        <is>
          <t>gobelin_tooth ×6
polished_stone ×2
iron_ingot ×1</t>
        </is>
      </c>
    </row>
    <row r="21">
      <c r="A21" t="inlineStr">
        <is>
          <t>iron_ring_recipe</t>
        </is>
      </c>
      <c r="B21" t="inlineStr">
        <is>
          <t>Anneau de fer</t>
        </is>
      </c>
      <c r="C21" t="inlineStr">
        <is>
          <t>iron_ring</t>
        </is>
      </c>
      <c r="D21" t="inlineStr">
        <is>
          <t>ring</t>
        </is>
      </c>
      <c r="E21" t="inlineStr">
        <is>
          <t>bague</t>
        </is>
      </c>
      <c r="F21" t="n">
        <v>1</v>
      </c>
      <c r="G21" t="inlineStr">
        <is>
          <t>iron_ingot ×2</t>
        </is>
      </c>
    </row>
    <row r="22">
      <c r="A22" s="5" t="inlineStr">
        <is>
          <t>gobelin_ring_recipe</t>
        </is>
      </c>
      <c r="B22" s="5" t="inlineStr">
        <is>
          <t>Bague gobeline</t>
        </is>
      </c>
      <c r="C22" s="5" t="inlineStr">
        <is>
          <t>gobelin_ring</t>
        </is>
      </c>
      <c r="D22" s="5" t="inlineStr">
        <is>
          <t>ring</t>
        </is>
      </c>
      <c r="E22" s="5" t="inlineStr">
        <is>
          <t>bague</t>
        </is>
      </c>
      <c r="F22" s="5" t="n">
        <v>1</v>
      </c>
      <c r="G22" s="8" t="inlineStr">
        <is>
          <t>gobelin_tooth ×3
iron_ingot ×1
polished_stone ×1</t>
        </is>
      </c>
    </row>
    <row r="23">
      <c r="A23" t="inlineStr">
        <is>
          <t>slime_pendant_recipe</t>
        </is>
      </c>
      <c r="B23" t="inlineStr">
        <is>
          <t>Pendentif de Slime</t>
        </is>
      </c>
      <c r="C23" t="inlineStr">
        <is>
          <t>slime_pendant</t>
        </is>
      </c>
      <c r="D23" t="inlineStr">
        <is>
          <t>necklace</t>
        </is>
      </c>
      <c r="E23" t="inlineStr">
        <is>
          <t>collier</t>
        </is>
      </c>
      <c r="F23" t="n">
        <v>1</v>
      </c>
      <c r="G23" s="9" t="inlineStr">
        <is>
          <t>slime_gel ×5
polished_stone ×1
leather_strip ×1</t>
        </is>
      </c>
    </row>
    <row r="24">
      <c r="A24" s="5" t="inlineStr">
        <is>
          <t>linen_hood_recipe</t>
        </is>
      </c>
      <c r="B24" s="5" t="inlineStr">
        <is>
          <t>Capuche en lin</t>
        </is>
      </c>
      <c r="C24" s="5" t="inlineStr">
        <is>
          <t>linen_hood</t>
        </is>
      </c>
      <c r="D24" s="5" t="inlineStr">
        <is>
          <t>helmet</t>
        </is>
      </c>
      <c r="E24" s="5" t="inlineStr">
        <is>
          <t>casque</t>
        </is>
      </c>
      <c r="F24" s="5" t="n">
        <v>1</v>
      </c>
      <c r="G24" s="8" t="inlineStr">
        <is>
          <t>linen_cloth ×4
leather_strip ×1</t>
        </is>
      </c>
    </row>
    <row r="25">
      <c r="A25" t="inlineStr">
        <is>
          <t>linen_robe_recipe</t>
        </is>
      </c>
      <c r="B25" t="inlineStr">
        <is>
          <t>Robe en lin</t>
        </is>
      </c>
      <c r="C25" t="inlineStr">
        <is>
          <t>linen_robe</t>
        </is>
      </c>
      <c r="D25" t="inlineStr">
        <is>
          <t>chest</t>
        </is>
      </c>
      <c r="E25" t="inlineStr">
        <is>
          <t>plastron</t>
        </is>
      </c>
      <c r="F25" t="n">
        <v>1</v>
      </c>
      <c r="G25" s="9" t="inlineStr">
        <is>
          <t>linen_cloth ×6
leather_strip ×1</t>
        </is>
      </c>
    </row>
    <row r="26">
      <c r="A26" s="5" t="inlineStr">
        <is>
          <t>linen_gloves_recipe</t>
        </is>
      </c>
      <c r="B26" s="5" t="inlineStr">
        <is>
          <t>Mitaines en lin</t>
        </is>
      </c>
      <c r="C26" s="5" t="inlineStr">
        <is>
          <t>linen_gloves</t>
        </is>
      </c>
      <c r="D26" s="5" t="inlineStr">
        <is>
          <t>bracelet</t>
        </is>
      </c>
      <c r="E26" s="5" t="inlineStr">
        <is>
          <t>bracelet</t>
        </is>
      </c>
      <c r="F26" s="5" t="n">
        <v>1</v>
      </c>
      <c r="G26" s="5" t="inlineStr">
        <is>
          <t>linen_cloth ×3</t>
        </is>
      </c>
    </row>
    <row r="27">
      <c r="A27" t="inlineStr">
        <is>
          <t>slime_cloak_recipe</t>
        </is>
      </c>
      <c r="B27" t="inlineStr">
        <is>
          <t>Cape gluante</t>
        </is>
      </c>
      <c r="C27" t="inlineStr">
        <is>
          <t>slime_cloak</t>
        </is>
      </c>
      <c r="D27" t="inlineStr">
        <is>
          <t>cape</t>
        </is>
      </c>
      <c r="E27" t="inlineStr">
        <is>
          <t>cape</t>
        </is>
      </c>
      <c r="F27" t="n">
        <v>1</v>
      </c>
      <c r="G27" s="9" t="inlineStr">
        <is>
          <t>slime_gel ×5
linen_cloth ×3
leather_strip ×1</t>
        </is>
      </c>
    </row>
    <row r="28">
      <c r="A28" s="5" t="inlineStr">
        <is>
          <t>gobelin_amulet_recipe</t>
        </is>
      </c>
      <c r="B28" s="5" t="inlineStr">
        <is>
          <t>Amulette gobeline</t>
        </is>
      </c>
      <c r="C28" s="5" t="inlineStr">
        <is>
          <t>gobelin_amulet</t>
        </is>
      </c>
      <c r="D28" s="5" t="inlineStr">
        <is>
          <t>necklace</t>
        </is>
      </c>
      <c r="E28" s="5" t="inlineStr">
        <is>
          <t>collier</t>
        </is>
      </c>
      <c r="F28" s="5" t="n">
        <v>1</v>
      </c>
      <c r="G28" s="8" t="inlineStr">
        <is>
          <t>gobelin_tooth ×5
polished_stone ×2
leather_strip ×1</t>
        </is>
      </c>
    </row>
    <row r="29">
      <c r="A29" t="inlineStr">
        <is>
          <t>polished_stone_ring_recipe</t>
        </is>
      </c>
      <c r="B29" t="inlineStr">
        <is>
          <t>Anneau de pierre polie</t>
        </is>
      </c>
      <c r="C29" t="inlineStr">
        <is>
          <t>polished_stone_ring</t>
        </is>
      </c>
      <c r="D29" t="inlineStr">
        <is>
          <t>ring</t>
        </is>
      </c>
      <c r="E29" t="inlineStr">
        <is>
          <t>bague</t>
        </is>
      </c>
      <c r="F29" t="n">
        <v>1</v>
      </c>
      <c r="G29" t="inlineStr">
        <is>
          <t>polished_stone ×3</t>
        </is>
      </c>
    </row>
    <row r="30">
      <c r="A30" s="5" t="inlineStr">
        <is>
          <t>iron_gauntlets_recipe</t>
        </is>
      </c>
      <c r="B30" s="5" t="inlineStr">
        <is>
          <t>Gantelets en fer</t>
        </is>
      </c>
      <c r="C30" s="5" t="inlineStr">
        <is>
          <t>iron_gauntlets</t>
        </is>
      </c>
      <c r="D30" s="5" t="inlineStr">
        <is>
          <t>bracelet</t>
        </is>
      </c>
      <c r="E30" s="5" t="inlineStr">
        <is>
          <t>bracelet</t>
        </is>
      </c>
      <c r="F30" s="5" t="n">
        <v>1</v>
      </c>
      <c r="G30" s="8" t="inlineStr">
        <is>
          <t>iron_ingot ×4
leather_strip ×2</t>
        </is>
      </c>
    </row>
    <row r="31">
      <c r="A31" t="inlineStr">
        <is>
          <t>iron_dagger_recipe</t>
        </is>
      </c>
      <c r="B31" t="inlineStr">
        <is>
          <t>Dague en fer</t>
        </is>
      </c>
      <c r="C31" t="inlineStr">
        <is>
          <t>iron_dagger</t>
        </is>
      </c>
      <c r="D31" t="inlineStr">
        <is>
          <t>weapon</t>
        </is>
      </c>
      <c r="E31" t="inlineStr">
        <is>
          <t>main_droite</t>
        </is>
      </c>
      <c r="F31" t="n">
        <v>1</v>
      </c>
      <c r="G31" s="9" t="inlineStr">
        <is>
          <t>iron_ingot ×2
wood_log ×1
leather_strip ×1</t>
        </is>
      </c>
    </row>
    <row r="32">
      <c r="A32" s="5" t="inlineStr">
        <is>
          <t>gobelin_blade_recipe</t>
        </is>
      </c>
      <c r="B32" s="5" t="inlineStr">
        <is>
          <t>Lame gobeline</t>
        </is>
      </c>
      <c r="C32" s="5" t="inlineStr">
        <is>
          <t>gobelin_blade</t>
        </is>
      </c>
      <c r="D32" s="5" t="inlineStr">
        <is>
          <t>weapon</t>
        </is>
      </c>
      <c r="E32" s="5" t="inlineStr">
        <is>
          <t>main_droite</t>
        </is>
      </c>
      <c r="F32" s="5" t="n">
        <v>1</v>
      </c>
      <c r="G32" s="8" t="inlineStr">
        <is>
          <t>gobelin_tooth ×4
iron_ingot ×2
wood_log ×1</t>
        </is>
      </c>
    </row>
    <row r="33">
      <c r="A33" t="inlineStr">
        <is>
          <t>slime_shield_recipe</t>
        </is>
      </c>
      <c r="B33" t="inlineStr">
        <is>
          <t>Bouclier visqueux</t>
        </is>
      </c>
      <c r="C33" t="inlineStr">
        <is>
          <t>slime_shield</t>
        </is>
      </c>
      <c r="D33" t="inlineStr">
        <is>
          <t>shield</t>
        </is>
      </c>
      <c r="E33" t="inlineStr">
        <is>
          <t>main_droite</t>
        </is>
      </c>
      <c r="F33" t="n">
        <v>1</v>
      </c>
      <c r="G33" s="9" t="inlineStr">
        <is>
          <t>slime_gel ×4
wood_log ×3
leather_strip ×1</t>
        </is>
      </c>
    </row>
    <row r="34">
      <c r="A34" s="5" t="inlineStr">
        <is>
          <t>gobelin_plastron_recipe</t>
        </is>
      </c>
      <c r="B34" s="5" t="inlineStr">
        <is>
          <t>Plastron gobelin</t>
        </is>
      </c>
      <c r="C34" s="5" t="inlineStr">
        <is>
          <t>gobelin_plastron</t>
        </is>
      </c>
      <c r="D34" s="5" t="inlineStr">
        <is>
          <t>chest</t>
        </is>
      </c>
      <c r="E34" s="5" t="inlineStr">
        <is>
          <t>plastron</t>
        </is>
      </c>
      <c r="F34" s="5" t="n">
        <v>1</v>
      </c>
      <c r="G34" s="8" t="inlineStr">
        <is>
          <t>gobelin_tooth ×5
iron_ingot ×2
leather_strip ×1</t>
        </is>
      </c>
    </row>
    <row r="35">
      <c r="A35" t="inlineStr">
        <is>
          <t>gobelin_jambieres_recipe</t>
        </is>
      </c>
      <c r="B35" t="inlineStr">
        <is>
          <t>Jambières gobelin</t>
        </is>
      </c>
      <c r="C35" t="inlineStr">
        <is>
          <t>gobelin_jambieres</t>
        </is>
      </c>
      <c r="D35" t="inlineStr">
        <is>
          <t>legs</t>
        </is>
      </c>
      <c r="E35" t="inlineStr">
        <is>
          <t>jambieres</t>
        </is>
      </c>
      <c r="F35" t="n">
        <v>1</v>
      </c>
      <c r="G35" s="9" t="inlineStr">
        <is>
          <t>gobelin_tooth ×4
iron_ingot ×2
leather_strip ×1</t>
        </is>
      </c>
    </row>
    <row r="36">
      <c r="A36" s="5" t="inlineStr">
        <is>
          <t>gobelin_bottes_recipe</t>
        </is>
      </c>
      <c r="B36" s="5" t="inlineStr">
        <is>
          <t>Bottes gobelin</t>
        </is>
      </c>
      <c r="C36" s="5" t="inlineStr">
        <is>
          <t>gobelin_bottes</t>
        </is>
      </c>
      <c r="D36" s="5" t="inlineStr">
        <is>
          <t>boots</t>
        </is>
      </c>
      <c r="E36" s="5" t="inlineStr">
        <is>
          <t>bottes</t>
        </is>
      </c>
      <c r="F36" s="5" t="n">
        <v>1</v>
      </c>
      <c r="G36" s="8" t="inlineStr">
        <is>
          <t>gobelin_tooth ×3
iron_ingot ×1
leather_strip ×1</t>
        </is>
      </c>
    </row>
    <row r="37">
      <c r="A37" t="inlineStr">
        <is>
          <t>gobelin_main_gauche_recipe</t>
        </is>
      </c>
      <c r="B37" t="inlineStr">
        <is>
          <t>Bouclier gobelin</t>
        </is>
      </c>
      <c r="C37" t="inlineStr">
        <is>
          <t>gobelin_main_gauche</t>
        </is>
      </c>
      <c r="D37" t="inlineStr">
        <is>
          <t>shield</t>
        </is>
      </c>
      <c r="E37" t="inlineStr">
        <is>
          <t>main_droite</t>
        </is>
      </c>
      <c r="F37" t="n">
        <v>1</v>
      </c>
      <c r="G37" s="9" t="inlineStr">
        <is>
          <t>gobelin_tooth ×3
iron_ingot ×1
wood_log ×2
leather_strip ×1</t>
        </is>
      </c>
    </row>
    <row r="38">
      <c r="A38" s="5" t="inlineStr">
        <is>
          <t>gobelin_bracelet_recipe</t>
        </is>
      </c>
      <c r="B38" s="5" t="inlineStr">
        <is>
          <t>Bracelet gobelin</t>
        </is>
      </c>
      <c r="C38" s="5" t="inlineStr">
        <is>
          <t>gobelin_bracelet</t>
        </is>
      </c>
      <c r="D38" s="5" t="inlineStr">
        <is>
          <t>bracelet</t>
        </is>
      </c>
      <c r="E38" s="5" t="inlineStr">
        <is>
          <t>bracelet</t>
        </is>
      </c>
      <c r="F38" s="5" t="n">
        <v>1</v>
      </c>
      <c r="G38" s="8" t="inlineStr">
        <is>
          <t>gobelin_tooth ×2
iron_ingot ×1</t>
        </is>
      </c>
    </row>
    <row r="39">
      <c r="A39" t="inlineStr">
        <is>
          <t>gobelin_ceinture_recipe</t>
        </is>
      </c>
      <c r="B39" t="inlineStr">
        <is>
          <t>Ceinture gobelin</t>
        </is>
      </c>
      <c r="C39" t="inlineStr">
        <is>
          <t>gobelin_ceinture</t>
        </is>
      </c>
      <c r="D39" t="inlineStr">
        <is>
          <t>belt</t>
        </is>
      </c>
      <c r="E39" t="inlineStr">
        <is>
          <t>ceinture</t>
        </is>
      </c>
      <c r="F39" t="n">
        <v>1</v>
      </c>
      <c r="G39" s="9" t="inlineStr">
        <is>
          <t>gobelin_tooth ×2
iron_ingot ×1
leather_strip ×1</t>
        </is>
      </c>
    </row>
    <row r="40">
      <c r="A40" s="5" t="inlineStr">
        <is>
          <t>gobelin_cape_recipe</t>
        </is>
      </c>
      <c r="B40" s="5" t="inlineStr">
        <is>
          <t>Cape gobelin</t>
        </is>
      </c>
      <c r="C40" s="5" t="inlineStr">
        <is>
          <t>gobelin_cape</t>
        </is>
      </c>
      <c r="D40" s="5" t="inlineStr">
        <is>
          <t>cape</t>
        </is>
      </c>
      <c r="E40" s="5" t="inlineStr">
        <is>
          <t>cape</t>
        </is>
      </c>
      <c r="F40" s="5" t="n">
        <v>1</v>
      </c>
      <c r="G40" s="8" t="inlineStr">
        <is>
          <t>gobelin_tooth ×4
linen_cloth ×2
leather_strip ×1</t>
        </is>
      </c>
    </row>
    <row r="41">
      <c r="A41" t="inlineStr">
        <is>
          <t>gobelin_boucle_oreille_recipe</t>
        </is>
      </c>
      <c r="B41" t="inlineStr">
        <is>
          <t>Boucle gobelin</t>
        </is>
      </c>
      <c r="C41" t="inlineStr">
        <is>
          <t>gobelin_boucle_oreille</t>
        </is>
      </c>
      <c r="D41" t="inlineStr">
        <is>
          <t>earring</t>
        </is>
      </c>
      <c r="E41" t="inlineStr">
        <is>
          <t>boucle_oreille</t>
        </is>
      </c>
      <c r="F41" t="n">
        <v>1</v>
      </c>
      <c r="G41" s="9" t="inlineStr">
        <is>
          <t>gobelin_tooth ×2
polished_stone ×1</t>
        </is>
      </c>
    </row>
    <row r="42">
      <c r="A42" s="5" t="inlineStr">
        <is>
          <t>iron_collier_recipe</t>
        </is>
      </c>
      <c r="B42" s="5" t="inlineStr">
        <is>
          <t>Collier en fer</t>
        </is>
      </c>
      <c r="C42" s="5" t="inlineStr">
        <is>
          <t>iron_collier</t>
        </is>
      </c>
      <c r="D42" s="5" t="inlineStr">
        <is>
          <t>necklace</t>
        </is>
      </c>
      <c r="E42" s="5" t="inlineStr">
        <is>
          <t>collier</t>
        </is>
      </c>
      <c r="F42" s="5" t="n">
        <v>1</v>
      </c>
      <c r="G42" s="8" t="inlineStr">
        <is>
          <t>iron_ingot ×4
polished_stone ×1
leather_strip ×1</t>
        </is>
      </c>
    </row>
    <row r="43">
      <c r="A43" t="inlineStr">
        <is>
          <t>iron_ceinture_recipe</t>
        </is>
      </c>
      <c r="B43" t="inlineStr">
        <is>
          <t>Ceinture en fer</t>
        </is>
      </c>
      <c r="C43" t="inlineStr">
        <is>
          <t>iron_ceinture</t>
        </is>
      </c>
      <c r="D43" t="inlineStr">
        <is>
          <t>belt</t>
        </is>
      </c>
      <c r="E43" t="inlineStr">
        <is>
          <t>ceinture</t>
        </is>
      </c>
      <c r="F43" t="n">
        <v>1</v>
      </c>
      <c r="G43" s="9" t="inlineStr">
        <is>
          <t>iron_ingot ×2
leather_strip ×1</t>
        </is>
      </c>
    </row>
    <row r="44">
      <c r="A44" s="5" t="inlineStr">
        <is>
          <t>iron_cape_recipe</t>
        </is>
      </c>
      <c r="B44" s="5" t="inlineStr">
        <is>
          <t>Cape en fer</t>
        </is>
      </c>
      <c r="C44" s="5" t="inlineStr">
        <is>
          <t>iron_cape</t>
        </is>
      </c>
      <c r="D44" s="5" t="inlineStr">
        <is>
          <t>cape</t>
        </is>
      </c>
      <c r="E44" s="5" t="inlineStr">
        <is>
          <t>cape</t>
        </is>
      </c>
      <c r="F44" s="5" t="n">
        <v>1</v>
      </c>
      <c r="G44" s="8" t="inlineStr">
        <is>
          <t>iron_ingot ×4
linen_cloth ×2
leather_strip ×1</t>
        </is>
      </c>
    </row>
    <row r="45">
      <c r="A45" t="inlineStr">
        <is>
          <t>iron_boucle_oreille_recipe</t>
        </is>
      </c>
      <c r="B45" t="inlineStr">
        <is>
          <t>Boucle en fer</t>
        </is>
      </c>
      <c r="C45" t="inlineStr">
        <is>
          <t>iron_boucle_oreille</t>
        </is>
      </c>
      <c r="D45" t="inlineStr">
        <is>
          <t>earring</t>
        </is>
      </c>
      <c r="E45" t="inlineStr">
        <is>
          <t>boucle_oreille</t>
        </is>
      </c>
      <c r="F45" t="n">
        <v>1</v>
      </c>
      <c r="G45" s="9" t="inlineStr">
        <is>
          <t>iron_ingot ×2
polished_stone ×1</t>
        </is>
      </c>
    </row>
    <row r="46">
      <c r="A46" s="5" t="inlineStr">
        <is>
          <t>leather_main_droite_recipe</t>
        </is>
      </c>
      <c r="B46" s="5" t="inlineStr">
        <is>
          <t>Lame en cuir</t>
        </is>
      </c>
      <c r="C46" s="5" t="inlineStr">
        <is>
          <t>leather_main_droite</t>
        </is>
      </c>
      <c r="D46" s="5" t="inlineStr">
        <is>
          <t>weapon</t>
        </is>
      </c>
      <c r="E46" s="5" t="inlineStr">
        <is>
          <t>main_droite</t>
        </is>
      </c>
      <c r="F46" s="5" t="n">
        <v>1</v>
      </c>
      <c r="G46" s="8" t="inlineStr">
        <is>
          <t>leather_strip ×3
wood_log ×2
iron_ingot ×1</t>
        </is>
      </c>
    </row>
    <row r="47">
      <c r="A47" t="inlineStr">
        <is>
          <t>leather_main_gauche_recipe</t>
        </is>
      </c>
      <c r="B47" t="inlineStr">
        <is>
          <t>Bouclier en cuir</t>
        </is>
      </c>
      <c r="C47" t="inlineStr">
        <is>
          <t>leather_main_gauche</t>
        </is>
      </c>
      <c r="D47" t="inlineStr">
        <is>
          <t>shield</t>
        </is>
      </c>
      <c r="E47" t="inlineStr">
        <is>
          <t>main_droite</t>
        </is>
      </c>
      <c r="F47" t="n">
        <v>1</v>
      </c>
      <c r="G47" s="9" t="inlineStr">
        <is>
          <t>leather_strip ×3
wood_log ×3
iron_ingot ×1</t>
        </is>
      </c>
    </row>
    <row r="48">
      <c r="A48" s="5" t="inlineStr">
        <is>
          <t>leather_collier_recipe</t>
        </is>
      </c>
      <c r="B48" s="5" t="inlineStr">
        <is>
          <t>Collier en cuir</t>
        </is>
      </c>
      <c r="C48" s="5" t="inlineStr">
        <is>
          <t>leather_collier</t>
        </is>
      </c>
      <c r="D48" s="5" t="inlineStr">
        <is>
          <t>necklace</t>
        </is>
      </c>
      <c r="E48" s="5" t="inlineStr">
        <is>
          <t>collier</t>
        </is>
      </c>
      <c r="F48" s="5" t="n">
        <v>1</v>
      </c>
      <c r="G48" s="8" t="inlineStr">
        <is>
          <t>leather_strip ×4
polished_stone ×1
linen_cloth ×1</t>
        </is>
      </c>
    </row>
    <row r="49">
      <c r="A49" t="inlineStr">
        <is>
          <t>leather_bague_recipe</t>
        </is>
      </c>
      <c r="B49" t="inlineStr">
        <is>
          <t>Bague en cuir</t>
        </is>
      </c>
      <c r="C49" t="inlineStr">
        <is>
          <t>leather_bague</t>
        </is>
      </c>
      <c r="D49" t="inlineStr">
        <is>
          <t>ring</t>
        </is>
      </c>
      <c r="E49" t="inlineStr">
        <is>
          <t>bague</t>
        </is>
      </c>
      <c r="F49" t="n">
        <v>1</v>
      </c>
      <c r="G49" s="9" t="inlineStr">
        <is>
          <t>leather_strip ×2
polished_stone ×1</t>
        </is>
      </c>
    </row>
    <row r="50">
      <c r="A50" s="5" t="inlineStr">
        <is>
          <t>leather_cape_recipe</t>
        </is>
      </c>
      <c r="B50" s="5" t="inlineStr">
        <is>
          <t>Cape en cuir</t>
        </is>
      </c>
      <c r="C50" s="5" t="inlineStr">
        <is>
          <t>leather_cape</t>
        </is>
      </c>
      <c r="D50" s="5" t="inlineStr">
        <is>
          <t>cape</t>
        </is>
      </c>
      <c r="E50" s="5" t="inlineStr">
        <is>
          <t>cape</t>
        </is>
      </c>
      <c r="F50" s="5" t="n">
        <v>1</v>
      </c>
      <c r="G50" s="8" t="inlineStr">
        <is>
          <t>leather_strip ×5
linen_cloth ×2</t>
        </is>
      </c>
    </row>
    <row r="51">
      <c r="A51" t="inlineStr">
        <is>
          <t>leather_boucle_oreille_recipe</t>
        </is>
      </c>
      <c r="B51" t="inlineStr">
        <is>
          <t>Boucle en cuir</t>
        </is>
      </c>
      <c r="C51" t="inlineStr">
        <is>
          <t>leather_boucle_oreille</t>
        </is>
      </c>
      <c r="D51" t="inlineStr">
        <is>
          <t>earring</t>
        </is>
      </c>
      <c r="E51" t="inlineStr">
        <is>
          <t>boucle_oreille</t>
        </is>
      </c>
      <c r="F51" t="n">
        <v>1</v>
      </c>
      <c r="G51" s="9" t="inlineStr">
        <is>
          <t>leather_strip ×2
polished_stone ×1</t>
        </is>
      </c>
    </row>
    <row r="52">
      <c r="A52" s="5" t="inlineStr">
        <is>
          <t>linen_jambieres_recipe</t>
        </is>
      </c>
      <c r="B52" s="5" t="inlineStr">
        <is>
          <t>Jambières en lin</t>
        </is>
      </c>
      <c r="C52" s="5" t="inlineStr">
        <is>
          <t>linen_jambieres</t>
        </is>
      </c>
      <c r="D52" s="5" t="inlineStr">
        <is>
          <t>legs</t>
        </is>
      </c>
      <c r="E52" s="5" t="inlineStr">
        <is>
          <t>jambieres</t>
        </is>
      </c>
      <c r="F52" s="5" t="n">
        <v>1</v>
      </c>
      <c r="G52" s="8" t="inlineStr">
        <is>
          <t>linen_cloth ×4
leather_strip ×2</t>
        </is>
      </c>
    </row>
    <row r="53">
      <c r="A53" t="inlineStr">
        <is>
          <t>linen_bottes_recipe</t>
        </is>
      </c>
      <c r="B53" t="inlineStr">
        <is>
          <t>Bottes en lin</t>
        </is>
      </c>
      <c r="C53" t="inlineStr">
        <is>
          <t>linen_bottes</t>
        </is>
      </c>
      <c r="D53" t="inlineStr">
        <is>
          <t>boots</t>
        </is>
      </c>
      <c r="E53" t="inlineStr">
        <is>
          <t>bottes</t>
        </is>
      </c>
      <c r="F53" t="n">
        <v>1</v>
      </c>
      <c r="G53" s="9" t="inlineStr">
        <is>
          <t>linen_cloth ×3
leather_strip ×1</t>
        </is>
      </c>
    </row>
    <row r="54">
      <c r="A54" s="5" t="inlineStr">
        <is>
          <t>linen_main_droite_recipe</t>
        </is>
      </c>
      <c r="B54" s="5" t="inlineStr">
        <is>
          <t>Lame en lin</t>
        </is>
      </c>
      <c r="C54" s="5" t="inlineStr">
        <is>
          <t>linen_main_droite</t>
        </is>
      </c>
      <c r="D54" s="5" t="inlineStr">
        <is>
          <t>weapon</t>
        </is>
      </c>
      <c r="E54" s="5" t="inlineStr">
        <is>
          <t>main_droite</t>
        </is>
      </c>
      <c r="F54" s="5" t="n">
        <v>1</v>
      </c>
      <c r="G54" s="8" t="inlineStr">
        <is>
          <t>linen_cloth ×3
wood_log ×2
iron_ingot ×1</t>
        </is>
      </c>
    </row>
    <row r="55">
      <c r="A55" t="inlineStr">
        <is>
          <t>linen_main_gauche_recipe</t>
        </is>
      </c>
      <c r="B55" t="inlineStr">
        <is>
          <t>Bouclier en lin</t>
        </is>
      </c>
      <c r="C55" t="inlineStr">
        <is>
          <t>linen_main_gauche</t>
        </is>
      </c>
      <c r="D55" t="inlineStr">
        <is>
          <t>shield</t>
        </is>
      </c>
      <c r="E55" t="inlineStr">
        <is>
          <t>main_droite</t>
        </is>
      </c>
      <c r="F55" t="n">
        <v>1</v>
      </c>
      <c r="G55" s="9" t="inlineStr">
        <is>
          <t>linen_cloth ×3
wood_log ×3
leather_strip ×1</t>
        </is>
      </c>
    </row>
    <row r="56">
      <c r="A56" s="5" t="inlineStr">
        <is>
          <t>linen_collier_recipe</t>
        </is>
      </c>
      <c r="B56" s="5" t="inlineStr">
        <is>
          <t>Collier en lin</t>
        </is>
      </c>
      <c r="C56" s="5" t="inlineStr">
        <is>
          <t>linen_collier</t>
        </is>
      </c>
      <c r="D56" s="5" t="inlineStr">
        <is>
          <t>necklace</t>
        </is>
      </c>
      <c r="E56" s="5" t="inlineStr">
        <is>
          <t>collier</t>
        </is>
      </c>
      <c r="F56" s="5" t="n">
        <v>1</v>
      </c>
      <c r="G56" s="8" t="inlineStr">
        <is>
          <t>linen_cloth ×4
polished_stone ×1
leather_strip ×1</t>
        </is>
      </c>
    </row>
    <row r="57">
      <c r="A57" t="inlineStr">
        <is>
          <t>linen_bague_recipe</t>
        </is>
      </c>
      <c r="B57" t="inlineStr">
        <is>
          <t>Bague en lin</t>
        </is>
      </c>
      <c r="C57" t="inlineStr">
        <is>
          <t>linen_bague</t>
        </is>
      </c>
      <c r="D57" t="inlineStr">
        <is>
          <t>ring</t>
        </is>
      </c>
      <c r="E57" t="inlineStr">
        <is>
          <t>bague</t>
        </is>
      </c>
      <c r="F57" t="n">
        <v>1</v>
      </c>
      <c r="G57" s="9" t="inlineStr">
        <is>
          <t>linen_cloth ×2
polished_stone ×1</t>
        </is>
      </c>
    </row>
    <row r="58">
      <c r="A58" s="5" t="inlineStr">
        <is>
          <t>linen_ceinture_recipe</t>
        </is>
      </c>
      <c r="B58" s="5" t="inlineStr">
        <is>
          <t>Ceinture en lin</t>
        </is>
      </c>
      <c r="C58" s="5" t="inlineStr">
        <is>
          <t>linen_ceinture</t>
        </is>
      </c>
      <c r="D58" s="5" t="inlineStr">
        <is>
          <t>belt</t>
        </is>
      </c>
      <c r="E58" s="5" t="inlineStr">
        <is>
          <t>ceinture</t>
        </is>
      </c>
      <c r="F58" s="5" t="n">
        <v>1</v>
      </c>
      <c r="G58" s="8" t="inlineStr">
        <is>
          <t>linen_cloth ×2
iron_ingot ×1</t>
        </is>
      </c>
    </row>
    <row r="59">
      <c r="A59" t="inlineStr">
        <is>
          <t>linen_boucle_oreille_recipe</t>
        </is>
      </c>
      <c r="B59" t="inlineStr">
        <is>
          <t>Boucle en lin</t>
        </is>
      </c>
      <c r="C59" t="inlineStr">
        <is>
          <t>linen_boucle_oreille</t>
        </is>
      </c>
      <c r="D59" t="inlineStr">
        <is>
          <t>earring</t>
        </is>
      </c>
      <c r="E59" t="inlineStr">
        <is>
          <t>boucle_oreille</t>
        </is>
      </c>
      <c r="F59" t="n">
        <v>1</v>
      </c>
      <c r="G59" s="9" t="inlineStr">
        <is>
          <t>linen_cloth ×2
polished_stone ×1</t>
        </is>
      </c>
    </row>
    <row r="60">
      <c r="A60" s="5" t="inlineStr">
        <is>
          <t>slime_casque_recipe</t>
        </is>
      </c>
      <c r="B60" s="5" t="inlineStr">
        <is>
          <t>Casque de slime</t>
        </is>
      </c>
      <c r="C60" s="5" t="inlineStr">
        <is>
          <t>slime_casque</t>
        </is>
      </c>
      <c r="D60" s="5" t="inlineStr">
        <is>
          <t>helmet</t>
        </is>
      </c>
      <c r="E60" s="5" t="inlineStr">
        <is>
          <t>casque</t>
        </is>
      </c>
      <c r="F60" s="5" t="n">
        <v>1</v>
      </c>
      <c r="G60" s="8" t="inlineStr">
        <is>
          <t>slime_gel ×4
leather_strip ×1</t>
        </is>
      </c>
    </row>
    <row r="61">
      <c r="A61" t="inlineStr">
        <is>
          <t>slime_plastron_recipe</t>
        </is>
      </c>
      <c r="B61" t="inlineStr">
        <is>
          <t>Plastron de slime</t>
        </is>
      </c>
      <c r="C61" t="inlineStr">
        <is>
          <t>slime_plastron</t>
        </is>
      </c>
      <c r="D61" t="inlineStr">
        <is>
          <t>chest</t>
        </is>
      </c>
      <c r="E61" t="inlineStr">
        <is>
          <t>plastron</t>
        </is>
      </c>
      <c r="F61" t="n">
        <v>1</v>
      </c>
      <c r="G61" s="9" t="inlineStr">
        <is>
          <t>slime_gel ×5
leather_strip ×2</t>
        </is>
      </c>
    </row>
    <row r="62">
      <c r="A62" s="5" t="inlineStr">
        <is>
          <t>slime_jambieres_recipe</t>
        </is>
      </c>
      <c r="B62" s="5" t="inlineStr">
        <is>
          <t>Jambières de slime</t>
        </is>
      </c>
      <c r="C62" s="5" t="inlineStr">
        <is>
          <t>slime_jambieres</t>
        </is>
      </c>
      <c r="D62" s="5" t="inlineStr">
        <is>
          <t>legs</t>
        </is>
      </c>
      <c r="E62" s="5" t="inlineStr">
        <is>
          <t>jambieres</t>
        </is>
      </c>
      <c r="F62" s="5" t="n">
        <v>1</v>
      </c>
      <c r="G62" s="8" t="inlineStr">
        <is>
          <t>slime_gel ×4
leather_strip ×2</t>
        </is>
      </c>
    </row>
    <row r="63">
      <c r="A63" t="inlineStr">
        <is>
          <t>slime_bottes_recipe</t>
        </is>
      </c>
      <c r="B63" t="inlineStr">
        <is>
          <t>Bottes de slime</t>
        </is>
      </c>
      <c r="C63" t="inlineStr">
        <is>
          <t>slime_bottes</t>
        </is>
      </c>
      <c r="D63" t="inlineStr">
        <is>
          <t>boots</t>
        </is>
      </c>
      <c r="E63" t="inlineStr">
        <is>
          <t>bottes</t>
        </is>
      </c>
      <c r="F63" t="n">
        <v>1</v>
      </c>
      <c r="G63" s="9" t="inlineStr">
        <is>
          <t>slime_gel ×3
leather_strip ×1</t>
        </is>
      </c>
    </row>
    <row r="64">
      <c r="A64" s="5" t="inlineStr">
        <is>
          <t>slime_bracelet_recipe</t>
        </is>
      </c>
      <c r="B64" s="5" t="inlineStr">
        <is>
          <t>Bracelet de slime</t>
        </is>
      </c>
      <c r="C64" s="5" t="inlineStr">
        <is>
          <t>slime_bracelet</t>
        </is>
      </c>
      <c r="D64" s="5" t="inlineStr">
        <is>
          <t>bracelet</t>
        </is>
      </c>
      <c r="E64" s="5" t="inlineStr">
        <is>
          <t>bracelet</t>
        </is>
      </c>
      <c r="F64" s="5" t="n">
        <v>1</v>
      </c>
      <c r="G64" s="8" t="inlineStr">
        <is>
          <t>slime_gel ×2
iron_ingot ×1</t>
        </is>
      </c>
    </row>
    <row r="65">
      <c r="A65" t="inlineStr">
        <is>
          <t>slime_bague_recipe</t>
        </is>
      </c>
      <c r="B65" t="inlineStr">
        <is>
          <t>Bague de slime</t>
        </is>
      </c>
      <c r="C65" t="inlineStr">
        <is>
          <t>slime_bague</t>
        </is>
      </c>
      <c r="D65" t="inlineStr">
        <is>
          <t>ring</t>
        </is>
      </c>
      <c r="E65" t="inlineStr">
        <is>
          <t>bague</t>
        </is>
      </c>
      <c r="F65" t="n">
        <v>1</v>
      </c>
      <c r="G65" s="9" t="inlineStr">
        <is>
          <t>slime_gel ×2
polished_stone ×1</t>
        </is>
      </c>
    </row>
    <row r="66">
      <c r="A66" s="5" t="inlineStr">
        <is>
          <t>slime_ceinture_recipe</t>
        </is>
      </c>
      <c r="B66" s="5" t="inlineStr">
        <is>
          <t>Ceinture de slime</t>
        </is>
      </c>
      <c r="C66" s="5" t="inlineStr">
        <is>
          <t>slime_ceinture</t>
        </is>
      </c>
      <c r="D66" s="5" t="inlineStr">
        <is>
          <t>belt</t>
        </is>
      </c>
      <c r="E66" s="5" t="inlineStr">
        <is>
          <t>ceinture</t>
        </is>
      </c>
      <c r="F66" s="5" t="n">
        <v>1</v>
      </c>
      <c r="G66" s="8" t="inlineStr">
        <is>
          <t>slime_gel ×2
leather_strip ×1</t>
        </is>
      </c>
    </row>
    <row r="67">
      <c r="A67" t="inlineStr">
        <is>
          <t>slime_boucle_oreille_recipe</t>
        </is>
      </c>
      <c r="B67" t="inlineStr">
        <is>
          <t>Boucle de slime</t>
        </is>
      </c>
      <c r="C67" t="inlineStr">
        <is>
          <t>slime_boucle_oreille</t>
        </is>
      </c>
      <c r="D67" t="inlineStr">
        <is>
          <t>earring</t>
        </is>
      </c>
      <c r="E67" t="inlineStr">
        <is>
          <t>boucle_oreille</t>
        </is>
      </c>
      <c r="F67" t="n">
        <v>1</v>
      </c>
      <c r="G67" s="9" t="inlineStr">
        <is>
          <t>slime_gel ×2
polished_stone ×1</t>
        </is>
      </c>
    </row>
    <row r="68">
      <c r="A68" s="5" t="inlineStr">
        <is>
          <t>iron_sword_recipe</t>
        </is>
      </c>
      <c r="B68" s="5" t="inlineStr">
        <is>
          <t>Épée en fer</t>
        </is>
      </c>
      <c r="C68" s="5" t="inlineStr">
        <is>
          <t>iron_sword</t>
        </is>
      </c>
      <c r="D68" s="5" t="inlineStr">
        <is>
          <t>weapon</t>
        </is>
      </c>
      <c r="E68" s="5" t="inlineStr">
        <is>
          <t>main_droite</t>
        </is>
      </c>
      <c r="F68" s="5" t="n">
        <v>1</v>
      </c>
      <c r="G68" s="8" t="inlineStr">
        <is>
          <t>iron_ingot ×3
wood_log ×1
leather_strip ×1</t>
        </is>
      </c>
    </row>
    <row r="69">
      <c r="A69" t="inlineStr">
        <is>
          <t>iron_warshield_recipe</t>
        </is>
      </c>
      <c r="B69" t="inlineStr">
        <is>
          <t>Pavois en fer</t>
        </is>
      </c>
      <c r="C69" t="inlineStr">
        <is>
          <t>iron_warshield</t>
        </is>
      </c>
      <c r="D69" t="inlineStr">
        <is>
          <t>shield</t>
        </is>
      </c>
      <c r="E69" t="inlineStr">
        <is>
          <t>main_droite</t>
        </is>
      </c>
      <c r="F69" t="n">
        <v>1</v>
      </c>
      <c r="G69" s="9" t="inlineStr">
        <is>
          <t>iron_ingot ×4
leather_strip ×2</t>
        </is>
      </c>
    </row>
    <row r="70">
      <c r="A70" s="5" t="inlineStr">
        <is>
          <t>iron_greatsword_recipe</t>
        </is>
      </c>
      <c r="B70" s="5" t="inlineStr">
        <is>
          <t>Espadon en fer</t>
        </is>
      </c>
      <c r="C70" s="5" t="inlineStr">
        <is>
          <t>iron_greatsword</t>
        </is>
      </c>
      <c r="D70" s="5" t="inlineStr">
        <is>
          <t>weapon</t>
        </is>
      </c>
      <c r="E70" s="5" t="inlineStr">
        <is>
          <t>main_droite</t>
        </is>
      </c>
      <c r="F70" s="5" t="n">
        <v>1</v>
      </c>
      <c r="G70" s="8" t="inlineStr">
        <is>
          <t>iron_ingot ×6
wood_log ×3
leather_strip ×3</t>
        </is>
      </c>
    </row>
    <row r="71">
      <c r="A71" t="inlineStr">
        <is>
          <t>iron_tower_shield_recipe</t>
        </is>
      </c>
      <c r="B71" t="inlineStr">
        <is>
          <t>Tour en fer</t>
        </is>
      </c>
      <c r="C71" t="inlineStr">
        <is>
          <t>iron_tower_shield</t>
        </is>
      </c>
      <c r="D71" t="inlineStr">
        <is>
          <t>shield</t>
        </is>
      </c>
      <c r="E71" t="inlineStr">
        <is>
          <t>main_droite</t>
        </is>
      </c>
      <c r="F71" t="n">
        <v>1</v>
      </c>
      <c r="G71" s="9" t="inlineStr">
        <is>
          <t>iron_ingot ×9
leather_strip ×3</t>
        </is>
      </c>
    </row>
    <row r="72">
      <c r="A72" s="5" t="inlineStr">
        <is>
          <t>slime_morningstar_recipe</t>
        </is>
      </c>
      <c r="B72" s="5" t="inlineStr">
        <is>
          <t>Morningstar visqueuse</t>
        </is>
      </c>
      <c r="C72" s="5" t="inlineStr">
        <is>
          <t>slime_morningstar</t>
        </is>
      </c>
      <c r="D72" s="5" t="inlineStr">
        <is>
          <t>weapon</t>
        </is>
      </c>
      <c r="E72" s="5" t="inlineStr">
        <is>
          <t>main_droite</t>
        </is>
      </c>
      <c r="F72" s="5" t="n">
        <v>1</v>
      </c>
      <c r="G72" s="8" t="inlineStr">
        <is>
          <t>slime_gel ×3
wood_log ×2</t>
        </is>
      </c>
    </row>
    <row r="73">
      <c r="A73" t="inlineStr">
        <is>
          <t>slime_buckler_recipe</t>
        </is>
      </c>
      <c r="B73" t="inlineStr">
        <is>
          <t>Bouclier de gel</t>
        </is>
      </c>
      <c r="C73" t="inlineStr">
        <is>
          <t>slime_buckler</t>
        </is>
      </c>
      <c r="D73" t="inlineStr">
        <is>
          <t>shield</t>
        </is>
      </c>
      <c r="E73" t="inlineStr">
        <is>
          <t>main_droite</t>
        </is>
      </c>
      <c r="F73" t="n">
        <v>1</v>
      </c>
      <c r="G73" s="9" t="inlineStr">
        <is>
          <t>slime_gel ×3
wood_log ×2
leather_strip ×1</t>
        </is>
      </c>
    </row>
    <row r="74">
      <c r="A74" s="5" t="inlineStr">
        <is>
          <t>slime_greatblade_recipe</t>
        </is>
      </c>
      <c r="B74" s="5" t="inlineStr">
        <is>
          <t>Lame visqueuse colossale</t>
        </is>
      </c>
      <c r="C74" s="5" t="inlineStr">
        <is>
          <t>slime_greatblade</t>
        </is>
      </c>
      <c r="D74" s="5" t="inlineStr">
        <is>
          <t>weapon</t>
        </is>
      </c>
      <c r="E74" s="5" t="inlineStr">
        <is>
          <t>main_droite</t>
        </is>
      </c>
      <c r="F74" s="5" t="n">
        <v>1</v>
      </c>
      <c r="G74" s="8" t="inlineStr">
        <is>
          <t>slime_gel ×9
wood_log ×6
iron_ingot ×3</t>
        </is>
      </c>
    </row>
    <row r="75">
      <c r="A75" t="inlineStr">
        <is>
          <t>slime_tower_shield_recipe</t>
        </is>
      </c>
      <c r="B75" t="inlineStr">
        <is>
          <t>Tour de gel</t>
        </is>
      </c>
      <c r="C75" t="inlineStr">
        <is>
          <t>slime_tower_shield</t>
        </is>
      </c>
      <c r="D75" t="inlineStr">
        <is>
          <t>shield</t>
        </is>
      </c>
      <c r="E75" t="inlineStr">
        <is>
          <t>main_droite</t>
        </is>
      </c>
      <c r="F75" t="n">
        <v>1</v>
      </c>
      <c r="G75" s="9" t="inlineStr">
        <is>
          <t>slime_gel ×12
wood_log ×9
leather_strip ×3</t>
        </is>
      </c>
    </row>
    <row r="76">
      <c r="A76" s="5" t="inlineStr">
        <is>
          <t>gobelin_buckler_recipe</t>
        </is>
      </c>
      <c r="B76" s="5" t="inlineStr">
        <is>
          <t>Rondache gobeline</t>
        </is>
      </c>
      <c r="C76" s="5" t="inlineStr">
        <is>
          <t>gobelin_buckler</t>
        </is>
      </c>
      <c r="D76" s="5" t="inlineStr">
        <is>
          <t>shield</t>
        </is>
      </c>
      <c r="E76" s="5" t="inlineStr">
        <is>
          <t>main_droite</t>
        </is>
      </c>
      <c r="F76" s="5" t="n">
        <v>1</v>
      </c>
      <c r="G76" s="8" t="inlineStr">
        <is>
          <t>gobelin_tooth ×3
iron_ingot ×1
leather_strip ×1</t>
        </is>
      </c>
    </row>
    <row r="77">
      <c r="A77" t="inlineStr">
        <is>
          <t>gobelin_greataxe_recipe</t>
        </is>
      </c>
      <c r="B77" t="inlineStr">
        <is>
          <t>Grande hache gobeline</t>
        </is>
      </c>
      <c r="C77" t="inlineStr">
        <is>
          <t>gobelin_greataxe</t>
        </is>
      </c>
      <c r="D77" t="inlineStr">
        <is>
          <t>weapon</t>
        </is>
      </c>
      <c r="E77" t="inlineStr">
        <is>
          <t>main_droite</t>
        </is>
      </c>
      <c r="F77" t="n">
        <v>1</v>
      </c>
      <c r="G77" s="9" t="inlineStr">
        <is>
          <t>gobelin_tooth ×12
iron_ingot ×6
wood_log ×3</t>
        </is>
      </c>
    </row>
    <row r="78">
      <c r="A78" s="5" t="inlineStr">
        <is>
          <t>gobelin_warshield_recipe</t>
        </is>
      </c>
      <c r="B78" s="5" t="inlineStr">
        <is>
          <t>Pavois gobelin</t>
        </is>
      </c>
      <c r="C78" s="5" t="inlineStr">
        <is>
          <t>gobelin_warshield</t>
        </is>
      </c>
      <c r="D78" s="5" t="inlineStr">
        <is>
          <t>shield</t>
        </is>
      </c>
      <c r="E78" s="5" t="inlineStr">
        <is>
          <t>main_droite</t>
        </is>
      </c>
      <c r="F78" s="5" t="n">
        <v>1</v>
      </c>
      <c r="G78" s="8" t="inlineStr">
        <is>
          <t>gobelin_tooth ×9
iron_ingot ×3
wood_log ×6
leather_strip ×3</t>
        </is>
      </c>
    </row>
    <row r="79">
      <c r="A79" t="inlineStr">
        <is>
          <t>leather_dagger_recipe</t>
        </is>
      </c>
      <c r="B79" t="inlineStr">
        <is>
          <t>Dague en cuir</t>
        </is>
      </c>
      <c r="C79" t="inlineStr">
        <is>
          <t>leather_dagger</t>
        </is>
      </c>
      <c r="D79" t="inlineStr">
        <is>
          <t>weapon</t>
        </is>
      </c>
      <c r="E79" t="inlineStr">
        <is>
          <t>main_droite</t>
        </is>
      </c>
      <c r="F79" t="n">
        <v>1</v>
      </c>
      <c r="G79" s="9" t="inlineStr">
        <is>
          <t>leather_strip ×2
wood_log ×2
iron_ingot ×1</t>
        </is>
      </c>
    </row>
    <row r="80">
      <c r="A80" s="5" t="inlineStr">
        <is>
          <t>leather_buckler_recipe</t>
        </is>
      </c>
      <c r="B80" s="5" t="inlineStr">
        <is>
          <t>Rondache en cuir</t>
        </is>
      </c>
      <c r="C80" s="5" t="inlineStr">
        <is>
          <t>leather_buckler</t>
        </is>
      </c>
      <c r="D80" s="5" t="inlineStr">
        <is>
          <t>shield</t>
        </is>
      </c>
      <c r="E80" s="5" t="inlineStr">
        <is>
          <t>main_droite</t>
        </is>
      </c>
      <c r="F80" s="5" t="n">
        <v>1</v>
      </c>
      <c r="G80" s="8" t="inlineStr">
        <is>
          <t>leather_strip ×2
wood_log ×2
iron_ingot ×1</t>
        </is>
      </c>
    </row>
    <row r="81">
      <c r="A81" t="inlineStr">
        <is>
          <t>leather_greatsword_recipe</t>
        </is>
      </c>
      <c r="B81" t="inlineStr">
        <is>
          <t>Grande lame en cuir</t>
        </is>
      </c>
      <c r="C81" t="inlineStr">
        <is>
          <t>leather_greatsword</t>
        </is>
      </c>
      <c r="D81" t="inlineStr">
        <is>
          <t>weapon</t>
        </is>
      </c>
      <c r="E81" t="inlineStr">
        <is>
          <t>main_droite</t>
        </is>
      </c>
      <c r="F81" t="n">
        <v>1</v>
      </c>
      <c r="G81" s="9" t="inlineStr">
        <is>
          <t>leather_strip ×9
wood_log ×6
iron_ingot ×3</t>
        </is>
      </c>
    </row>
    <row r="82">
      <c r="A82" s="5" t="inlineStr">
        <is>
          <t>leather_tower_shield_recipe</t>
        </is>
      </c>
      <c r="B82" s="5" t="inlineStr">
        <is>
          <t>Tour en cuir</t>
        </is>
      </c>
      <c r="C82" s="5" t="inlineStr">
        <is>
          <t>leather_tower_shield</t>
        </is>
      </c>
      <c r="D82" s="5" t="inlineStr">
        <is>
          <t>shield</t>
        </is>
      </c>
      <c r="E82" s="5" t="inlineStr">
        <is>
          <t>main_droite</t>
        </is>
      </c>
      <c r="F82" s="5" t="n">
        <v>1</v>
      </c>
      <c r="G82" s="8" t="inlineStr">
        <is>
          <t>leather_strip ×9
wood_log ×9
iron_ingot ×3</t>
        </is>
      </c>
    </row>
    <row r="83">
      <c r="A83" t="inlineStr">
        <is>
          <t>linen_rapier_recipe</t>
        </is>
      </c>
      <c r="B83" t="inlineStr">
        <is>
          <t>Rapière en lin</t>
        </is>
      </c>
      <c r="C83" t="inlineStr">
        <is>
          <t>linen_rapier</t>
        </is>
      </c>
      <c r="D83" t="inlineStr">
        <is>
          <t>weapon</t>
        </is>
      </c>
      <c r="E83" t="inlineStr">
        <is>
          <t>main_droite</t>
        </is>
      </c>
      <c r="F83" t="n">
        <v>1</v>
      </c>
      <c r="G83" s="9" t="inlineStr">
        <is>
          <t>linen_cloth ×2
wood_log ×2
iron_ingot ×1</t>
        </is>
      </c>
    </row>
    <row r="84">
      <c r="A84" s="5" t="inlineStr">
        <is>
          <t>linen_aegis_recipe</t>
        </is>
      </c>
      <c r="B84" s="5" t="inlineStr">
        <is>
          <t>Égide en lin</t>
        </is>
      </c>
      <c r="C84" s="5" t="inlineStr">
        <is>
          <t>linen_aegis</t>
        </is>
      </c>
      <c r="D84" s="5" t="inlineStr">
        <is>
          <t>shield</t>
        </is>
      </c>
      <c r="E84" s="5" t="inlineStr">
        <is>
          <t>main_droite</t>
        </is>
      </c>
      <c r="F84" s="5" t="n">
        <v>1</v>
      </c>
      <c r="G84" s="8" t="inlineStr">
        <is>
          <t>linen_cloth ×2
wood_log ×2
leather_strip ×1</t>
        </is>
      </c>
    </row>
    <row r="85">
      <c r="A85" t="inlineStr">
        <is>
          <t>linen_greatblade_recipe</t>
        </is>
      </c>
      <c r="B85" t="inlineStr">
        <is>
          <t>Grande lame en lin</t>
        </is>
      </c>
      <c r="C85" t="inlineStr">
        <is>
          <t>linen_greatblade</t>
        </is>
      </c>
      <c r="D85" t="inlineStr">
        <is>
          <t>weapon</t>
        </is>
      </c>
      <c r="E85" t="inlineStr">
        <is>
          <t>main_droite</t>
        </is>
      </c>
      <c r="F85" t="n">
        <v>1</v>
      </c>
      <c r="G85" s="9" t="inlineStr">
        <is>
          <t>linen_cloth ×9
wood_log ×6
iron_ingot ×3</t>
        </is>
      </c>
    </row>
    <row r="86">
      <c r="A86" s="5" t="inlineStr">
        <is>
          <t>linen_tower_shield_recipe</t>
        </is>
      </c>
      <c r="B86" s="5" t="inlineStr">
        <is>
          <t>Tour en lin</t>
        </is>
      </c>
      <c r="C86" s="5" t="inlineStr">
        <is>
          <t>linen_tower_shield</t>
        </is>
      </c>
      <c r="D86" s="5" t="inlineStr">
        <is>
          <t>shield</t>
        </is>
      </c>
      <c r="E86" s="5" t="inlineStr">
        <is>
          <t>main_droite</t>
        </is>
      </c>
      <c r="F86" s="5" t="n">
        <v>1</v>
      </c>
      <c r="G86" s="8" t="inlineStr">
        <is>
          <t>linen_cloth ×9
wood_log ×9
leather_strip ×3</t>
        </is>
      </c>
    </row>
    <row r="87">
      <c r="A87" t="inlineStr">
        <is>
          <t>gobelin_axe_plus_recipe</t>
        </is>
      </c>
      <c r="B87" t="inlineStr">
        <is>
          <t>Hache gobeline +</t>
        </is>
      </c>
      <c r="C87" t="inlineStr">
        <is>
          <t>gobelin_axe_plus</t>
        </is>
      </c>
      <c r="D87" t="inlineStr">
        <is>
          <t>weapon</t>
        </is>
      </c>
      <c r="E87" t="inlineStr">
        <is>
          <t>main_droite</t>
        </is>
      </c>
      <c r="F87" t="n">
        <v>1</v>
      </c>
      <c r="G87" s="9" t="inlineStr">
        <is>
          <t>gobelin_axe ×1
sang_gobelin_hq ×1
infuseur ×1</t>
        </is>
      </c>
    </row>
    <row r="88">
      <c r="A88" s="5" t="inlineStr">
        <is>
          <t>gobelin_crown_plus_recipe</t>
        </is>
      </c>
      <c r="B88" s="5" t="inlineStr">
        <is>
          <t>Couronne gobeline +</t>
        </is>
      </c>
      <c r="C88" s="5" t="inlineStr">
        <is>
          <t>gobelin_crown_plus</t>
        </is>
      </c>
      <c r="D88" s="5" t="inlineStr">
        <is>
          <t>helmet</t>
        </is>
      </c>
      <c r="E88" s="5" t="inlineStr">
        <is>
          <t>casque</t>
        </is>
      </c>
      <c r="F88" s="5" t="n">
        <v>1</v>
      </c>
      <c r="G88" s="8" t="inlineStr">
        <is>
          <t>gobelin_crown ×1
sang_gobelin_hq ×1
infuseur ×1</t>
        </is>
      </c>
    </row>
    <row r="89">
      <c r="A89" t="inlineStr">
        <is>
          <t>gobelin_ring_plus_recipe</t>
        </is>
      </c>
      <c r="B89" t="inlineStr">
        <is>
          <t>Bague gobeline +</t>
        </is>
      </c>
      <c r="C89" t="inlineStr">
        <is>
          <t>gobelin_ring_plus</t>
        </is>
      </c>
      <c r="D89" t="inlineStr">
        <is>
          <t>ring</t>
        </is>
      </c>
      <c r="E89" t="inlineStr">
        <is>
          <t>bague</t>
        </is>
      </c>
      <c r="F89" t="n">
        <v>1</v>
      </c>
      <c r="G89" s="9" t="inlineStr">
        <is>
          <t>gobelin_ring ×1
sang_gobelin_hq ×1
infuseur ×1</t>
        </is>
      </c>
    </row>
    <row r="90">
      <c r="A90" s="5" t="inlineStr">
        <is>
          <t>gobelin_amulet_plus_recipe</t>
        </is>
      </c>
      <c r="B90" s="5" t="inlineStr">
        <is>
          <t>Amulette gobeline +</t>
        </is>
      </c>
      <c r="C90" s="5" t="inlineStr">
        <is>
          <t>gobelin_amulet_plus</t>
        </is>
      </c>
      <c r="D90" s="5" t="inlineStr">
        <is>
          <t>necklace</t>
        </is>
      </c>
      <c r="E90" s="5" t="inlineStr">
        <is>
          <t>collier</t>
        </is>
      </c>
      <c r="F90" s="5" t="n">
        <v>1</v>
      </c>
      <c r="G90" s="8" t="inlineStr">
        <is>
          <t>gobelin_amulet ×1
sang_gobelin_hq ×1
infuseur ×1</t>
        </is>
      </c>
    </row>
    <row r="91">
      <c r="A91" t="inlineStr">
        <is>
          <t>gobelin_blade_plus_recipe</t>
        </is>
      </c>
      <c r="B91" t="inlineStr">
        <is>
          <t>Lame gobeline +</t>
        </is>
      </c>
      <c r="C91" t="inlineStr">
        <is>
          <t>gobelin_blade_plus</t>
        </is>
      </c>
      <c r="D91" t="inlineStr">
        <is>
          <t>weapon</t>
        </is>
      </c>
      <c r="E91" t="inlineStr">
        <is>
          <t>main_droite</t>
        </is>
      </c>
      <c r="F91" t="n">
        <v>1</v>
      </c>
      <c r="G91" s="9" t="inlineStr">
        <is>
          <t>gobelin_blade ×1
sang_gobelin_hq ×1
infuseur ×1</t>
        </is>
      </c>
    </row>
    <row r="92">
      <c r="A92" s="5" t="inlineStr">
        <is>
          <t>gobelin_plastron_plus_recipe</t>
        </is>
      </c>
      <c r="B92" s="5" t="inlineStr">
        <is>
          <t>Plastron gobelin +</t>
        </is>
      </c>
      <c r="C92" s="5" t="inlineStr">
        <is>
          <t>gobelin_plastron_plus</t>
        </is>
      </c>
      <c r="D92" s="5" t="inlineStr">
        <is>
          <t>chest</t>
        </is>
      </c>
      <c r="E92" s="5" t="inlineStr">
        <is>
          <t>plastron</t>
        </is>
      </c>
      <c r="F92" s="5" t="n">
        <v>1</v>
      </c>
      <c r="G92" s="8" t="inlineStr">
        <is>
          <t>gobelin_plastron ×1
sang_gobelin_hq ×1
infuseur ×1</t>
        </is>
      </c>
    </row>
    <row r="93">
      <c r="A93" t="inlineStr">
        <is>
          <t>gobelin_jambieres_plus_recipe</t>
        </is>
      </c>
      <c r="B93" t="inlineStr">
        <is>
          <t>Jambières gobelin +</t>
        </is>
      </c>
      <c r="C93" t="inlineStr">
        <is>
          <t>gobelin_jambieres_plus</t>
        </is>
      </c>
      <c r="D93" t="inlineStr">
        <is>
          <t>legs</t>
        </is>
      </c>
      <c r="E93" t="inlineStr">
        <is>
          <t>jambieres</t>
        </is>
      </c>
      <c r="F93" t="n">
        <v>1</v>
      </c>
      <c r="G93" s="9" t="inlineStr">
        <is>
          <t>gobelin_jambieres ×1
sang_gobelin_hq ×1
infuseur ×1</t>
        </is>
      </c>
    </row>
    <row r="94">
      <c r="A94" s="5" t="inlineStr">
        <is>
          <t>gobelin_bottes_plus_recipe</t>
        </is>
      </c>
      <c r="B94" s="5" t="inlineStr">
        <is>
          <t>Bottes gobelin +</t>
        </is>
      </c>
      <c r="C94" s="5" t="inlineStr">
        <is>
          <t>gobelin_bottes_plus</t>
        </is>
      </c>
      <c r="D94" s="5" t="inlineStr">
        <is>
          <t>boots</t>
        </is>
      </c>
      <c r="E94" s="5" t="inlineStr">
        <is>
          <t>bottes</t>
        </is>
      </c>
      <c r="F94" s="5" t="n">
        <v>1</v>
      </c>
      <c r="G94" s="8" t="inlineStr">
        <is>
          <t>gobelin_bottes ×1
sang_gobelin_hq ×1
infuseur ×1</t>
        </is>
      </c>
    </row>
    <row r="95">
      <c r="A95" t="inlineStr">
        <is>
          <t>gobelin_main_gauche_plus_recipe</t>
        </is>
      </c>
      <c r="B95" t="inlineStr">
        <is>
          <t>Bouclier gobelin +</t>
        </is>
      </c>
      <c r="C95" t="inlineStr">
        <is>
          <t>gobelin_main_gauche_plus</t>
        </is>
      </c>
      <c r="D95" t="inlineStr">
        <is>
          <t>shield</t>
        </is>
      </c>
      <c r="E95" t="inlineStr">
        <is>
          <t>main_droite</t>
        </is>
      </c>
      <c r="F95" t="n">
        <v>1</v>
      </c>
      <c r="G95" s="9" t="inlineStr">
        <is>
          <t>gobelin_main_gauche ×1
sang_gobelin_hq ×1
infuseur ×1</t>
        </is>
      </c>
    </row>
    <row r="96">
      <c r="A96" s="5" t="inlineStr">
        <is>
          <t>gobelin_bracelet_plus_recipe</t>
        </is>
      </c>
      <c r="B96" s="5" t="inlineStr">
        <is>
          <t>Bracelet gobelin +</t>
        </is>
      </c>
      <c r="C96" s="5" t="inlineStr">
        <is>
          <t>gobelin_bracelet_plus</t>
        </is>
      </c>
      <c r="D96" s="5" t="inlineStr">
        <is>
          <t>bracelet</t>
        </is>
      </c>
      <c r="E96" s="5" t="inlineStr">
        <is>
          <t>bracelet</t>
        </is>
      </c>
      <c r="F96" s="5" t="n">
        <v>1</v>
      </c>
      <c r="G96" s="8" t="inlineStr">
        <is>
          <t>gobelin_bracelet ×1
sang_gobelin_hq ×1
infuseur ×1</t>
        </is>
      </c>
    </row>
    <row r="97">
      <c r="A97" t="inlineStr">
        <is>
          <t>gobelin_ceinture_plus_recipe</t>
        </is>
      </c>
      <c r="B97" t="inlineStr">
        <is>
          <t>Ceinture gobelin +</t>
        </is>
      </c>
      <c r="C97" t="inlineStr">
        <is>
          <t>gobelin_ceinture_plus</t>
        </is>
      </c>
      <c r="D97" t="inlineStr">
        <is>
          <t>belt</t>
        </is>
      </c>
      <c r="E97" t="inlineStr">
        <is>
          <t>ceinture</t>
        </is>
      </c>
      <c r="F97" t="n">
        <v>1</v>
      </c>
      <c r="G97" s="9" t="inlineStr">
        <is>
          <t>gobelin_ceinture ×1
sang_gobelin_hq ×1
infuseur ×1</t>
        </is>
      </c>
    </row>
    <row r="98">
      <c r="A98" s="5" t="inlineStr">
        <is>
          <t>gobelin_cape_plus_recipe</t>
        </is>
      </c>
      <c r="B98" s="5" t="inlineStr">
        <is>
          <t>Cape gobelin +</t>
        </is>
      </c>
      <c r="C98" s="5" t="inlineStr">
        <is>
          <t>gobelin_cape_plus</t>
        </is>
      </c>
      <c r="D98" s="5" t="inlineStr">
        <is>
          <t>cape</t>
        </is>
      </c>
      <c r="E98" s="5" t="inlineStr">
        <is>
          <t>cape</t>
        </is>
      </c>
      <c r="F98" s="5" t="n">
        <v>1</v>
      </c>
      <c r="G98" s="8" t="inlineStr">
        <is>
          <t>gobelin_cape ×1
sang_gobelin_hq ×1
infuseur ×1</t>
        </is>
      </c>
    </row>
    <row r="99">
      <c r="A99" t="inlineStr">
        <is>
          <t>gobelin_boucle_oreille_plus_recipe</t>
        </is>
      </c>
      <c r="B99" t="inlineStr">
        <is>
          <t>Boucle gobelin +</t>
        </is>
      </c>
      <c r="C99" t="inlineStr">
        <is>
          <t>gobelin_boucle_oreille_plus</t>
        </is>
      </c>
      <c r="D99" t="inlineStr">
        <is>
          <t>earring</t>
        </is>
      </c>
      <c r="E99" t="inlineStr">
        <is>
          <t>boucle_oreille</t>
        </is>
      </c>
      <c r="F99" t="n">
        <v>1</v>
      </c>
      <c r="G99" s="9" t="inlineStr">
        <is>
          <t>gobelin_boucle_oreille ×1
sang_gobelin_hq ×1
infuseur ×1</t>
        </is>
      </c>
    </row>
    <row r="100">
      <c r="A100" s="5" t="inlineStr">
        <is>
          <t>gobelin_buckler_plus_recipe</t>
        </is>
      </c>
      <c r="B100" s="5" t="inlineStr">
        <is>
          <t>Rondache gobeline +</t>
        </is>
      </c>
      <c r="C100" s="5" t="inlineStr">
        <is>
          <t>gobelin_buckler_plus</t>
        </is>
      </c>
      <c r="D100" s="5" t="inlineStr">
        <is>
          <t>shield</t>
        </is>
      </c>
      <c r="E100" s="5" t="inlineStr">
        <is>
          <t>main_droite</t>
        </is>
      </c>
      <c r="F100" s="5" t="n">
        <v>1</v>
      </c>
      <c r="G100" s="8" t="inlineStr">
        <is>
          <t>gobelin_buckler ×1
sang_gobelin_hq ×1
infuseur ×1</t>
        </is>
      </c>
    </row>
    <row r="101">
      <c r="A101" t="inlineStr">
        <is>
          <t>gobelin_greataxe_plus_recipe</t>
        </is>
      </c>
      <c r="B101" t="inlineStr">
        <is>
          <t>Grande hache gobeline +</t>
        </is>
      </c>
      <c r="C101" t="inlineStr">
        <is>
          <t>gobelin_greataxe_plus</t>
        </is>
      </c>
      <c r="D101" t="inlineStr">
        <is>
          <t>weapon</t>
        </is>
      </c>
      <c r="E101" t="inlineStr">
        <is>
          <t>main_droite</t>
        </is>
      </c>
      <c r="F101" t="n">
        <v>1</v>
      </c>
      <c r="G101" s="9" t="inlineStr">
        <is>
          <t>gobelin_greataxe ×1
sang_gobelin_hq ×1
infuseur ×1</t>
        </is>
      </c>
    </row>
    <row r="102">
      <c r="A102" s="5" t="inlineStr">
        <is>
          <t>gobelin_warshield_plus_recipe</t>
        </is>
      </c>
      <c r="B102" s="5" t="inlineStr">
        <is>
          <t>Pavois gobelin +</t>
        </is>
      </c>
      <c r="C102" s="5" t="inlineStr">
        <is>
          <t>gobelin_warshield_plus</t>
        </is>
      </c>
      <c r="D102" s="5" t="inlineStr">
        <is>
          <t>shield</t>
        </is>
      </c>
      <c r="E102" s="5" t="inlineStr">
        <is>
          <t>main_droite</t>
        </is>
      </c>
      <c r="F102" s="5" t="n">
        <v>1</v>
      </c>
      <c r="G102" s="8" t="inlineStr">
        <is>
          <t>gobelin_warshield ×1
sang_gobelin_hq ×1
infuseur ×1</t>
        </is>
      </c>
    </row>
    <row r="103">
      <c r="A103" t="inlineStr">
        <is>
          <t>slime_blade_plus_recipe</t>
        </is>
      </c>
      <c r="B103" t="inlineStr">
        <is>
          <t>Lame visqueuse +</t>
        </is>
      </c>
      <c r="C103" t="inlineStr">
        <is>
          <t>slime_blade_plus</t>
        </is>
      </c>
      <c r="D103" t="inlineStr">
        <is>
          <t>weapon</t>
        </is>
      </c>
      <c r="E103" t="inlineStr">
        <is>
          <t>main_droite</t>
        </is>
      </c>
      <c r="F103" t="n">
        <v>1</v>
      </c>
      <c r="G103" s="9" t="inlineStr">
        <is>
          <t>slime_blade ×1
sang_slime ×1
infuseur ×1</t>
        </is>
      </c>
    </row>
    <row r="104">
      <c r="A104" s="5" t="inlineStr">
        <is>
          <t>slime_pendant_plus_recipe</t>
        </is>
      </c>
      <c r="B104" s="5" t="inlineStr">
        <is>
          <t>Pendentif de Slime +</t>
        </is>
      </c>
      <c r="C104" s="5" t="inlineStr">
        <is>
          <t>slime_pendant_plus</t>
        </is>
      </c>
      <c r="D104" s="5" t="inlineStr">
        <is>
          <t>necklace</t>
        </is>
      </c>
      <c r="E104" s="5" t="inlineStr">
        <is>
          <t>collier</t>
        </is>
      </c>
      <c r="F104" s="5" t="n">
        <v>1</v>
      </c>
      <c r="G104" s="8" t="inlineStr">
        <is>
          <t>slime_pendant ×1
sang_slime ×1
infuseur ×1</t>
        </is>
      </c>
    </row>
    <row r="105">
      <c r="A105" t="inlineStr">
        <is>
          <t>slime_cloak_plus_recipe</t>
        </is>
      </c>
      <c r="B105" t="inlineStr">
        <is>
          <t>Cape gluante +</t>
        </is>
      </c>
      <c r="C105" t="inlineStr">
        <is>
          <t>slime_cloak_plus</t>
        </is>
      </c>
      <c r="D105" t="inlineStr">
        <is>
          <t>cape</t>
        </is>
      </c>
      <c r="E105" t="inlineStr">
        <is>
          <t>cape</t>
        </is>
      </c>
      <c r="F105" t="n">
        <v>1</v>
      </c>
      <c r="G105" s="9" t="inlineStr">
        <is>
          <t>slime_cloak ×1
sang_slime ×1
infuseur ×1</t>
        </is>
      </c>
    </row>
    <row r="106">
      <c r="A106" s="5" t="inlineStr">
        <is>
          <t>slime_shield_plus_recipe</t>
        </is>
      </c>
      <c r="B106" s="5" t="inlineStr">
        <is>
          <t>Bouclier visqueux +</t>
        </is>
      </c>
      <c r="C106" s="5" t="inlineStr">
        <is>
          <t>slime_shield_plus</t>
        </is>
      </c>
      <c r="D106" s="5" t="inlineStr">
        <is>
          <t>shield</t>
        </is>
      </c>
      <c r="E106" s="5" t="inlineStr">
        <is>
          <t>main_droite</t>
        </is>
      </c>
      <c r="F106" s="5" t="n">
        <v>1</v>
      </c>
      <c r="G106" s="8" t="inlineStr">
        <is>
          <t>slime_shield ×1
sang_slime ×1
infuseur ×1</t>
        </is>
      </c>
    </row>
    <row r="107">
      <c r="A107" t="inlineStr">
        <is>
          <t>slime_casque_plus_recipe</t>
        </is>
      </c>
      <c r="B107" t="inlineStr">
        <is>
          <t>Casque de slime +</t>
        </is>
      </c>
      <c r="C107" t="inlineStr">
        <is>
          <t>slime_casque_plus</t>
        </is>
      </c>
      <c r="D107" t="inlineStr">
        <is>
          <t>helmet</t>
        </is>
      </c>
      <c r="E107" t="inlineStr">
        <is>
          <t>casque</t>
        </is>
      </c>
      <c r="F107" t="n">
        <v>1</v>
      </c>
      <c r="G107" s="9" t="inlineStr">
        <is>
          <t>slime_casque ×1
sang_slime ×1
infuseur ×1</t>
        </is>
      </c>
    </row>
    <row r="108">
      <c r="A108" s="5" t="inlineStr">
        <is>
          <t>slime_plastron_plus_recipe</t>
        </is>
      </c>
      <c r="B108" s="5" t="inlineStr">
        <is>
          <t>Plastron de slime +</t>
        </is>
      </c>
      <c r="C108" s="5" t="inlineStr">
        <is>
          <t>slime_plastron_plus</t>
        </is>
      </c>
      <c r="D108" s="5" t="inlineStr">
        <is>
          <t>chest</t>
        </is>
      </c>
      <c r="E108" s="5" t="inlineStr">
        <is>
          <t>plastron</t>
        </is>
      </c>
      <c r="F108" s="5" t="n">
        <v>1</v>
      </c>
      <c r="G108" s="8" t="inlineStr">
        <is>
          <t>slime_plastron ×1
sang_slime ×1
infuseur ×1</t>
        </is>
      </c>
    </row>
    <row r="109">
      <c r="A109" t="inlineStr">
        <is>
          <t>slime_jambieres_plus_recipe</t>
        </is>
      </c>
      <c r="B109" t="inlineStr">
        <is>
          <t>Jambières de slime +</t>
        </is>
      </c>
      <c r="C109" t="inlineStr">
        <is>
          <t>slime_jambieres_plus</t>
        </is>
      </c>
      <c r="D109" t="inlineStr">
        <is>
          <t>legs</t>
        </is>
      </c>
      <c r="E109" t="inlineStr">
        <is>
          <t>jambieres</t>
        </is>
      </c>
      <c r="F109" t="n">
        <v>1</v>
      </c>
      <c r="G109" s="9" t="inlineStr">
        <is>
          <t>slime_jambieres ×1
sang_slime ×1
infuseur ×1</t>
        </is>
      </c>
    </row>
    <row r="110">
      <c r="A110" s="5" t="inlineStr">
        <is>
          <t>slime_bottes_plus_recipe</t>
        </is>
      </c>
      <c r="B110" s="5" t="inlineStr">
        <is>
          <t>Bottes de slime +</t>
        </is>
      </c>
      <c r="C110" s="5" t="inlineStr">
        <is>
          <t>slime_bottes_plus</t>
        </is>
      </c>
      <c r="D110" s="5" t="inlineStr">
        <is>
          <t>boots</t>
        </is>
      </c>
      <c r="E110" s="5" t="inlineStr">
        <is>
          <t>bottes</t>
        </is>
      </c>
      <c r="F110" s="5" t="n">
        <v>1</v>
      </c>
      <c r="G110" s="8" t="inlineStr">
        <is>
          <t>slime_bottes ×1
sang_slime ×1
infuseur ×1</t>
        </is>
      </c>
    </row>
    <row r="111">
      <c r="A111" t="inlineStr">
        <is>
          <t>slime_bracelet_plus_recipe</t>
        </is>
      </c>
      <c r="B111" t="inlineStr">
        <is>
          <t>Bracelet de slime +</t>
        </is>
      </c>
      <c r="C111" t="inlineStr">
        <is>
          <t>slime_bracelet_plus</t>
        </is>
      </c>
      <c r="D111" t="inlineStr">
        <is>
          <t>bracelet</t>
        </is>
      </c>
      <c r="E111" t="inlineStr">
        <is>
          <t>bracelet</t>
        </is>
      </c>
      <c r="F111" t="n">
        <v>1</v>
      </c>
      <c r="G111" s="9" t="inlineStr">
        <is>
          <t>slime_bracelet ×1
sang_slime ×1
infuseur ×1</t>
        </is>
      </c>
    </row>
    <row r="112">
      <c r="A112" s="5" t="inlineStr">
        <is>
          <t>slime_bague_plus_recipe</t>
        </is>
      </c>
      <c r="B112" s="5" t="inlineStr">
        <is>
          <t>Bague de slime +</t>
        </is>
      </c>
      <c r="C112" s="5" t="inlineStr">
        <is>
          <t>slime_bague_plus</t>
        </is>
      </c>
      <c r="D112" s="5" t="inlineStr">
        <is>
          <t>ring</t>
        </is>
      </c>
      <c r="E112" s="5" t="inlineStr">
        <is>
          <t>bague</t>
        </is>
      </c>
      <c r="F112" s="5" t="n">
        <v>1</v>
      </c>
      <c r="G112" s="8" t="inlineStr">
        <is>
          <t>slime_bague ×1
sang_slime ×1
infuseur ×1</t>
        </is>
      </c>
    </row>
    <row r="113">
      <c r="A113" t="inlineStr">
        <is>
          <t>slime_ceinture_plus_recipe</t>
        </is>
      </c>
      <c r="B113" t="inlineStr">
        <is>
          <t>Ceinture de slime +</t>
        </is>
      </c>
      <c r="C113" t="inlineStr">
        <is>
          <t>slime_ceinture_plus</t>
        </is>
      </c>
      <c r="D113" t="inlineStr">
        <is>
          <t>belt</t>
        </is>
      </c>
      <c r="E113" t="inlineStr">
        <is>
          <t>ceinture</t>
        </is>
      </c>
      <c r="F113" t="n">
        <v>1</v>
      </c>
      <c r="G113" s="9" t="inlineStr">
        <is>
          <t>slime_ceinture ×1
sang_slime ×1
infuseur ×1</t>
        </is>
      </c>
    </row>
    <row r="114">
      <c r="A114" s="5" t="inlineStr">
        <is>
          <t>slime_boucle_oreille_plus_recipe</t>
        </is>
      </c>
      <c r="B114" s="5" t="inlineStr">
        <is>
          <t>Boucle de slime +</t>
        </is>
      </c>
      <c r="C114" s="5" t="inlineStr">
        <is>
          <t>slime_boucle_oreille_plus</t>
        </is>
      </c>
      <c r="D114" s="5" t="inlineStr">
        <is>
          <t>earring</t>
        </is>
      </c>
      <c r="E114" s="5" t="inlineStr">
        <is>
          <t>boucle_oreille</t>
        </is>
      </c>
      <c r="F114" s="5" t="n">
        <v>1</v>
      </c>
      <c r="G114" s="8" t="inlineStr">
        <is>
          <t>slime_boucle_oreille ×1
sang_slime ×1
infuseur ×1</t>
        </is>
      </c>
    </row>
    <row r="115">
      <c r="A115" t="inlineStr">
        <is>
          <t>slime_morningstar_plus_recipe</t>
        </is>
      </c>
      <c r="B115" t="inlineStr">
        <is>
          <t>Morningstar visqueuse +</t>
        </is>
      </c>
      <c r="C115" t="inlineStr">
        <is>
          <t>slime_morningstar_plus</t>
        </is>
      </c>
      <c r="D115" t="inlineStr">
        <is>
          <t>weapon</t>
        </is>
      </c>
      <c r="E115" t="inlineStr">
        <is>
          <t>main_droite</t>
        </is>
      </c>
      <c r="F115" t="n">
        <v>1</v>
      </c>
      <c r="G115" s="9" t="inlineStr">
        <is>
          <t>slime_morningstar ×1
sang_slime ×1
infuseur ×1</t>
        </is>
      </c>
    </row>
    <row r="116">
      <c r="A116" s="5" t="inlineStr">
        <is>
          <t>slime_buckler_plus_recipe</t>
        </is>
      </c>
      <c r="B116" s="5" t="inlineStr">
        <is>
          <t>Bouclier de gel +</t>
        </is>
      </c>
      <c r="C116" s="5" t="inlineStr">
        <is>
          <t>slime_buckler_plus</t>
        </is>
      </c>
      <c r="D116" s="5" t="inlineStr">
        <is>
          <t>shield</t>
        </is>
      </c>
      <c r="E116" s="5" t="inlineStr">
        <is>
          <t>main_droite</t>
        </is>
      </c>
      <c r="F116" s="5" t="n">
        <v>1</v>
      </c>
      <c r="G116" s="8" t="inlineStr">
        <is>
          <t>slime_buckler ×1
sang_slime ×1
infuseur ×1</t>
        </is>
      </c>
    </row>
    <row r="117">
      <c r="A117" t="inlineStr">
        <is>
          <t>slime_greatblade_plus_recipe</t>
        </is>
      </c>
      <c r="B117" t="inlineStr">
        <is>
          <t>Lame visqueuse colossale +</t>
        </is>
      </c>
      <c r="C117" t="inlineStr">
        <is>
          <t>slime_greatblade_plus</t>
        </is>
      </c>
      <c r="D117" t="inlineStr">
        <is>
          <t>weapon</t>
        </is>
      </c>
      <c r="E117" t="inlineStr">
        <is>
          <t>main_droite</t>
        </is>
      </c>
      <c r="F117" t="n">
        <v>1</v>
      </c>
      <c r="G117" s="9" t="inlineStr">
        <is>
          <t>slime_greatblade ×1
sang_slime ×1
infuseur ×1</t>
        </is>
      </c>
    </row>
    <row r="118">
      <c r="A118" s="5" t="inlineStr">
        <is>
          <t>slime_tower_shield_plus_recipe</t>
        </is>
      </c>
      <c r="B118" s="5" t="inlineStr">
        <is>
          <t>Tour de gel +</t>
        </is>
      </c>
      <c r="C118" s="5" t="inlineStr">
        <is>
          <t>slime_tower_shield_plus</t>
        </is>
      </c>
      <c r="D118" s="5" t="inlineStr">
        <is>
          <t>shield</t>
        </is>
      </c>
      <c r="E118" s="5" t="inlineStr">
        <is>
          <t>main_droite</t>
        </is>
      </c>
      <c r="F118" s="5" t="n">
        <v>1</v>
      </c>
      <c r="G118" s="8" t="inlineStr">
        <is>
          <t>slime_tower_shield ×1
sang_slime ×1
infuseur ×1</t>
        </is>
      </c>
    </row>
  </sheetData>
  <autoFilter ref="A1:G11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0" customWidth="1" min="2" max="2"/>
    <col width="12" customWidth="1" min="3" max="3"/>
    <col width="12" customWidth="1" min="4" max="4"/>
    <col width="16" customWidth="1" min="5" max="5"/>
    <col width="16" customWidth="1" min="6" max="6"/>
    <col width="13" customWidth="1" min="7" max="7"/>
    <col width="12" customWidth="1" min="8" max="8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Prix achat</t>
        </is>
      </c>
      <c r="E1" s="3" t="inlineStr">
        <is>
          <t>Prix vente max</t>
        </is>
      </c>
      <c r="F1" s="3" t="inlineStr">
        <is>
          <t>Prix vente min</t>
        </is>
      </c>
      <c r="G1" s="3" t="inlineStr">
        <is>
          <t>Seuil stock</t>
        </is>
      </c>
      <c r="H1" s="3" t="inlineStr">
        <is>
          <t>Activé</t>
        </is>
      </c>
    </row>
    <row r="2">
      <c r="A2" s="5" t="inlineStr">
        <is>
          <t>wood_log</t>
        </is>
      </c>
      <c r="B2" s="5" t="inlineStr">
        <is>
          <t>Bûche de bois</t>
        </is>
      </c>
      <c r="C2" s="5" t="inlineStr">
        <is>
          <t>resource</t>
        </is>
      </c>
      <c r="D2" s="5" t="n">
        <v>3</v>
      </c>
      <c r="E2" s="5" t="n">
        <v>1</v>
      </c>
      <c r="F2" s="5" t="n">
        <v>0</v>
      </c>
      <c r="G2" s="5" t="n">
        <v>100</v>
      </c>
      <c r="H2" s="5" t="inlineStr">
        <is>
          <t>oui</t>
        </is>
      </c>
    </row>
    <row r="3">
      <c r="A3" t="inlineStr">
        <is>
          <t>linen_cloth</t>
        </is>
      </c>
      <c r="B3" t="inlineStr">
        <is>
          <t>Toile de lin</t>
        </is>
      </c>
      <c r="C3" t="inlineStr">
        <is>
          <t>resource</t>
        </is>
      </c>
      <c r="D3" t="n">
        <v>8</v>
      </c>
      <c r="E3" t="n">
        <v>3</v>
      </c>
      <c r="F3" t="n">
        <v>1</v>
      </c>
      <c r="G3" t="n">
        <v>80</v>
      </c>
      <c r="H3" t="inlineStr">
        <is>
          <t>oui</t>
        </is>
      </c>
    </row>
    <row r="4">
      <c r="A4" s="5" t="inlineStr">
        <is>
          <t>leather_strip</t>
        </is>
      </c>
      <c r="B4" s="5" t="inlineStr">
        <is>
          <t>Lanière de cuir</t>
        </is>
      </c>
      <c r="C4" s="5" t="inlineStr">
        <is>
          <t>resource</t>
        </is>
      </c>
      <c r="D4" s="5" t="n">
        <v>8</v>
      </c>
      <c r="E4" s="5" t="n">
        <v>3</v>
      </c>
      <c r="F4" s="5" t="n">
        <v>1</v>
      </c>
      <c r="G4" s="5" t="n">
        <v>80</v>
      </c>
      <c r="H4" s="5" t="inlineStr">
        <is>
          <t>oui</t>
        </is>
      </c>
    </row>
    <row r="5">
      <c r="A5" t="inlineStr">
        <is>
          <t>polished_stone</t>
        </is>
      </c>
      <c r="B5" t="inlineStr">
        <is>
          <t>Pierre polie</t>
        </is>
      </c>
      <c r="C5" t="inlineStr">
        <is>
          <t>resource</t>
        </is>
      </c>
      <c r="D5" t="n">
        <v>10</v>
      </c>
      <c r="E5" t="n">
        <v>4</v>
      </c>
      <c r="F5" t="n">
        <v>1</v>
      </c>
      <c r="G5" t="n">
        <v>60</v>
      </c>
      <c r="H5" t="inlineStr">
        <is>
          <t>oui</t>
        </is>
      </c>
    </row>
    <row r="6">
      <c r="A6" s="5" t="inlineStr">
        <is>
          <t>iron_ingot</t>
        </is>
      </c>
      <c r="B6" s="5" t="inlineStr">
        <is>
          <t>Lingot de fer</t>
        </is>
      </c>
      <c r="C6" s="5" t="inlineStr">
        <is>
          <t>resource</t>
        </is>
      </c>
      <c r="D6" s="5" t="n">
        <v>12</v>
      </c>
      <c r="E6" s="5" t="n">
        <v>5</v>
      </c>
      <c r="F6" s="5" t="n">
        <v>1</v>
      </c>
      <c r="G6" s="5" t="n">
        <v>50</v>
      </c>
      <c r="H6" s="5" t="inlineStr">
        <is>
          <t>oui</t>
        </is>
      </c>
    </row>
    <row r="7">
      <c r="A7" t="inlineStr">
        <is>
          <t>potion_soin_i</t>
        </is>
      </c>
      <c r="B7" t="inlineStr">
        <is>
          <t>Potion de soin I</t>
        </is>
      </c>
      <c r="C7" t="inlineStr">
        <is>
          <t>consumable</t>
        </is>
      </c>
      <c r="D7" t="n">
        <v>30</v>
      </c>
      <c r="E7" t="n">
        <v>8</v>
      </c>
      <c r="F7" t="n">
        <v>3</v>
      </c>
      <c r="G7" t="n">
        <v>50</v>
      </c>
      <c r="H7" t="inlineStr">
        <is>
          <t>oui</t>
        </is>
      </c>
    </row>
    <row r="8">
      <c r="A8" s="5" t="inlineStr">
        <is>
          <t>potion_soin_ii</t>
        </is>
      </c>
      <c r="B8" s="5" t="inlineStr">
        <is>
          <t>Potion de soin II</t>
        </is>
      </c>
      <c r="C8" s="5" t="inlineStr">
        <is>
          <t>consumable</t>
        </is>
      </c>
      <c r="D8" s="5" t="n">
        <v>70</v>
      </c>
      <c r="E8" s="5" t="n">
        <v>18</v>
      </c>
      <c r="F8" s="5" t="n">
        <v>7</v>
      </c>
      <c r="G8" s="5" t="n">
        <v>30</v>
      </c>
      <c r="H8" s="5" t="inlineStr">
        <is>
          <t>oui</t>
        </is>
      </c>
    </row>
    <row r="9">
      <c r="A9" t="inlineStr">
        <is>
          <t>potion_soin_iii</t>
        </is>
      </c>
      <c r="B9" t="inlineStr">
        <is>
          <t>Potion de soin III</t>
        </is>
      </c>
      <c r="C9" t="inlineStr">
        <is>
          <t>consumable</t>
        </is>
      </c>
      <c r="D9" t="n">
        <v>150</v>
      </c>
      <c r="E9" t="n">
        <v>40</v>
      </c>
      <c r="F9" t="n">
        <v>15</v>
      </c>
      <c r="G9" t="n">
        <v>20</v>
      </c>
      <c r="H9" t="inlineStr">
        <is>
          <t>oui</t>
        </is>
      </c>
    </row>
    <row r="10">
      <c r="A10" s="5" t="inlineStr">
        <is>
          <t>infuseur</t>
        </is>
      </c>
      <c r="B10" s="5" t="inlineStr">
        <is>
          <t>Infuseur</t>
        </is>
      </c>
      <c r="C10" s="5" t="inlineStr">
        <is>
          <t>resource</t>
        </is>
      </c>
      <c r="D10" s="5" t="n">
        <v>1000</v>
      </c>
      <c r="E10" s="5" t="n">
        <v>0</v>
      </c>
      <c r="F10" s="5" t="n">
        <v>0</v>
      </c>
      <c r="G10" s="5" t="n">
        <v>100</v>
      </c>
      <c r="H10" s="5" t="inlineStr">
        <is>
          <t>oui</t>
        </is>
      </c>
    </row>
  </sheetData>
  <autoFilter ref="A1:H1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48" customWidth="1" min="12" max="12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Atk</t>
        </is>
      </c>
      <c r="D1" s="3" t="inlineStr">
        <is>
          <t>Def</t>
        </is>
      </c>
      <c r="E1" s="3" t="inlineStr">
        <is>
          <t>PV</t>
        </is>
      </c>
      <c r="F1" s="3" t="inlineStr">
        <is>
          <t>Crit %</t>
        </is>
      </c>
      <c r="G1" s="3" t="inlineStr">
        <is>
          <t>Crit dmg</t>
        </is>
      </c>
      <c r="H1" s="3" t="inlineStr">
        <is>
          <t>Esquive</t>
        </is>
      </c>
      <c r="I1" s="3" t="inlineStr">
        <is>
          <t>Vitesse</t>
        </is>
      </c>
      <c r="J1" s="3" t="inlineStr">
        <is>
          <t>Regen</t>
        </is>
      </c>
      <c r="K1" s="3" t="inlineStr">
        <is>
          <t>Déblocage</t>
        </is>
      </c>
      <c r="L1" s="3" t="inlineStr">
        <is>
          <t>Description</t>
        </is>
      </c>
    </row>
    <row r="2">
      <c r="A2" s="5" t="inlineStr">
        <is>
          <t>warrior</t>
        </is>
      </c>
      <c r="B2" s="5" t="inlineStr">
        <is>
          <t>Guerrier</t>
        </is>
      </c>
      <c r="C2" s="5" t="n">
        <v>3</v>
      </c>
      <c r="D2" s="5" t="n">
        <v>2</v>
      </c>
      <c r="E2" s="5" t="n">
        <v>20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inlineStr">
        <is>
          <t>{"type": "has_item", "item_code": "gobelin_tooth", "quantity": 5}</t>
        </is>
      </c>
      <c r="L2" s="5" t="inlineStr">
        <is>
          <t>Une classe robuste spécialisée dans le combat rapproché.</t>
        </is>
      </c>
    </row>
    <row r="3">
      <c r="A3" t="inlineStr">
        <is>
          <t>rogue</t>
        </is>
      </c>
      <c r="B3" t="inlineStr">
        <is>
          <t>Voleur</t>
        </is>
      </c>
      <c r="C3" t="n">
        <v>5</v>
      </c>
      <c r="D3" t="n">
        <v>0</v>
      </c>
      <c r="E3" t="n">
        <v>0</v>
      </c>
      <c r="F3" t="n">
        <v>10</v>
      </c>
      <c r="G3" t="n">
        <v>0</v>
      </c>
      <c r="H3" t="n">
        <v>5</v>
      </c>
      <c r="I3" t="n">
        <v>0</v>
      </c>
      <c r="J3" t="n">
        <v>0</v>
      </c>
      <c r="K3" t="inlineStr">
        <is>
          <t>{"type": "has_item", "item_code": "slime_gel", "quantity": 5}</t>
        </is>
      </c>
      <c r="L3" t="inlineStr">
        <is>
          <t>Une classe rapide et offensive.</t>
        </is>
      </c>
    </row>
    <row r="4">
      <c r="A4" s="5" t="inlineStr">
        <is>
          <t>guardian</t>
        </is>
      </c>
      <c r="B4" s="5" t="inlineStr">
        <is>
          <t>Gardien</t>
        </is>
      </c>
      <c r="C4" s="5" t="n">
        <v>0</v>
      </c>
      <c r="D4" s="5" t="n">
        <v>4</v>
      </c>
      <c r="E4" s="5" t="n">
        <v>30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8" t="inlineStr">
        <is>
          <t>{"type": "has_item", "item_code": "gobelin_tooth", "quantity": 10}
{"type": "has_item", "item_code": "slime_gel", "quantity": 3}</t>
        </is>
      </c>
      <c r="L4" s="5" t="inlineStr">
        <is>
          <t>Une classe défensive et résistante.</t>
        </is>
      </c>
    </row>
  </sheetData>
  <autoFilter ref="A1:L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12" customWidth="1" min="3" max="3"/>
    <col width="14" customWidth="1" min="4" max="4"/>
    <col width="32" customWidth="1" min="5" max="5"/>
    <col width="12" customWidth="1" min="6" max="6"/>
    <col width="13" customWidth="1" min="7" max="7"/>
    <col width="12" customWidth="1" min="8" max="8"/>
    <col width="48" customWidth="1" min="9" max="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Niveau max</t>
        </is>
      </c>
      <c r="D1" s="3" t="inlineStr">
        <is>
          <t>Coûts/niveau</t>
        </is>
      </c>
      <c r="E1" s="3" t="inlineStr">
        <is>
          <t>Effets</t>
        </is>
      </c>
      <c r="F1" s="3" t="inlineStr">
        <is>
          <t>Prérequis</t>
        </is>
      </c>
      <c r="G1" s="3" t="inlineStr">
        <is>
          <t>Position</t>
        </is>
      </c>
      <c r="H1" s="3" t="inlineStr">
        <is>
          <t>Icône</t>
        </is>
      </c>
      <c r="I1" s="3" t="inlineStr">
        <is>
          <t>Description</t>
        </is>
      </c>
    </row>
    <row r="2">
      <c r="A2" s="5" t="inlineStr">
        <is>
          <t>aventurier</t>
        </is>
      </c>
      <c r="B2" s="5" t="inlineStr">
        <is>
          <t>Aventurier</t>
        </is>
      </c>
      <c r="C2" s="5" t="n">
        <v>1</v>
      </c>
      <c r="D2" s="5" t="inlineStr">
        <is>
          <t>0</t>
        </is>
      </c>
      <c r="E2" s="5" t="inlineStr">
        <is>
          <t>—</t>
        </is>
      </c>
      <c r="F2" s="5" t="inlineStr">
        <is>
          <t>racine</t>
        </is>
      </c>
      <c r="G2" s="5" t="inlineStr">
        <is>
          <t>0, 0</t>
        </is>
      </c>
      <c r="H2" s="5" t="inlineStr">
        <is>
          <t>⭐</t>
        </is>
      </c>
      <c r="I2" s="5" t="inlineStr">
        <is>
          <t>Le commencement de votre voyage. Les trois voies partent d'ici.</t>
        </is>
      </c>
    </row>
    <row r="3">
      <c r="A3" t="inlineStr">
        <is>
          <t>voie_atq</t>
        </is>
      </c>
      <c r="B3" t="inlineStr">
        <is>
          <t>Voie de l'Attaque</t>
        </is>
      </c>
      <c r="C3" t="n">
        <v>1</v>
      </c>
      <c r="D3" t="inlineStr">
        <is>
          <t>1</t>
        </is>
      </c>
      <c r="E3" t="inlineStr">
        <is>
          <t>—</t>
        </is>
      </c>
      <c r="F3" t="inlineStr">
        <is>
          <t>aventurier</t>
        </is>
      </c>
      <c r="G3" t="inlineStr">
        <is>
          <t>0, -150</t>
        </is>
      </c>
      <c r="H3" t="inlineStr">
        <is>
          <t>💪</t>
        </is>
      </c>
      <c r="I3" t="inlineStr">
        <is>
          <t>Entrée de la voie de l'attaque.</t>
        </is>
      </c>
    </row>
    <row r="4">
      <c r="A4" s="5" t="inlineStr">
        <is>
          <t>atq_1</t>
        </is>
      </c>
      <c r="B4" s="5" t="inlineStr">
        <is>
          <t>Force 1</t>
        </is>
      </c>
      <c r="C4" s="5" t="n">
        <v>3</v>
      </c>
      <c r="D4" s="5" t="inlineStr">
        <is>
          <t>1,1,1</t>
        </is>
      </c>
      <c r="E4" s="5" t="inlineStr">
        <is>
          <t>atk_flat → [5,10,15]</t>
        </is>
      </c>
      <c r="F4" s="5" t="inlineStr">
        <is>
          <t>voie_atq</t>
        </is>
      </c>
      <c r="G4" s="5" t="inlineStr">
        <is>
          <t>-147, -172</t>
        </is>
      </c>
      <c r="H4" s="5" t="inlineStr">
        <is>
          <t>💪</t>
        </is>
      </c>
      <c r="I4" s="5" t="inlineStr">
        <is>
          <t>+5 Attaque par niveau · max +15 Attaque (3 niveaux, 1 pt/niveau).</t>
        </is>
      </c>
    </row>
    <row r="5">
      <c r="A5" t="inlineStr">
        <is>
          <t>atq_2</t>
        </is>
      </c>
      <c r="B5" t="inlineStr">
        <is>
          <t>Force 1</t>
        </is>
      </c>
      <c r="C5" t="n">
        <v>3</v>
      </c>
      <c r="D5" t="inlineStr">
        <is>
          <t>1,1,1</t>
        </is>
      </c>
      <c r="E5" t="inlineStr">
        <is>
          <t>atk_flat → [5,10,15]</t>
        </is>
      </c>
      <c r="F5" t="inlineStr">
        <is>
          <t>atq_1</t>
        </is>
      </c>
      <c r="G5" t="inlineStr">
        <is>
          <t>-290, -214</t>
        </is>
      </c>
      <c r="H5" t="inlineStr">
        <is>
          <t>💪</t>
        </is>
      </c>
      <c r="I5" t="inlineStr">
        <is>
          <t>+5 Attaque par niveau · max +15 Attaque (3 niveaux, 1 pt/niveau).</t>
        </is>
      </c>
    </row>
    <row r="6">
      <c r="A6" s="5" t="inlineStr">
        <is>
          <t>atq_3</t>
        </is>
      </c>
      <c r="B6" s="5" t="inlineStr">
        <is>
          <t>Force 1</t>
        </is>
      </c>
      <c r="C6" s="5" t="n">
        <v>3</v>
      </c>
      <c r="D6" s="5" t="inlineStr">
        <is>
          <t>1,1,1</t>
        </is>
      </c>
      <c r="E6" s="5" t="inlineStr">
        <is>
          <t>atk_flat → [5,10,15]</t>
        </is>
      </c>
      <c r="F6" s="5" t="inlineStr">
        <is>
          <t>atq_2</t>
        </is>
      </c>
      <c r="G6" s="5" t="inlineStr">
        <is>
          <t>-425, -278</t>
        </is>
      </c>
      <c r="H6" s="5" t="inlineStr">
        <is>
          <t>💪</t>
        </is>
      </c>
      <c r="I6" s="5" t="inlineStr">
        <is>
          <t>+5 Attaque par niveau · max +15 Attaque (3 niveaux, 1 pt/niveau).</t>
        </is>
      </c>
    </row>
    <row r="7">
      <c r="A7" t="inlineStr">
        <is>
          <t>atq_4</t>
        </is>
      </c>
      <c r="B7" t="inlineStr">
        <is>
          <t>Force 1</t>
        </is>
      </c>
      <c r="C7" t="n">
        <v>3</v>
      </c>
      <c r="D7" t="inlineStr">
        <is>
          <t>1,1,1</t>
        </is>
      </c>
      <c r="E7" t="inlineStr">
        <is>
          <t>atk_flat → [5,10,15]</t>
        </is>
      </c>
      <c r="F7" t="inlineStr">
        <is>
          <t>atq_3</t>
        </is>
      </c>
      <c r="G7" t="inlineStr">
        <is>
          <t>-549, -361</t>
        </is>
      </c>
      <c r="H7" t="inlineStr">
        <is>
          <t>💪</t>
        </is>
      </c>
      <c r="I7" t="inlineStr">
        <is>
          <t>+5 Attaque par niveau · max +15 Attaque (3 niveaux, 1 pt/niveau).</t>
        </is>
      </c>
    </row>
    <row r="8">
      <c r="A8" s="5" t="inlineStr">
        <is>
          <t>atq_5</t>
        </is>
      </c>
      <c r="B8" s="5" t="inlineStr">
        <is>
          <t>Force 1</t>
        </is>
      </c>
      <c r="C8" s="5" t="n">
        <v>3</v>
      </c>
      <c r="D8" s="5" t="inlineStr">
        <is>
          <t>1,1,1</t>
        </is>
      </c>
      <c r="E8" s="5" t="inlineStr">
        <is>
          <t>atk_flat → [5,10,15]</t>
        </is>
      </c>
      <c r="F8" s="5" t="inlineStr">
        <is>
          <t>atq_4</t>
        </is>
      </c>
      <c r="G8" s="5" t="inlineStr">
        <is>
          <t>-658, -461</t>
        </is>
      </c>
      <c r="H8" s="5" t="inlineStr">
        <is>
          <t>💪</t>
        </is>
      </c>
      <c r="I8" s="5" t="inlineStr">
        <is>
          <t>+5 Attaque par niveau · max +15 Attaque (3 niveaux, 1 pt/niveau).</t>
        </is>
      </c>
    </row>
    <row r="9">
      <c r="A9" t="inlineStr">
        <is>
          <t>atq_6</t>
        </is>
      </c>
      <c r="B9" t="inlineStr">
        <is>
          <t>Frappe affûtée</t>
        </is>
      </c>
      <c r="C9" t="n">
        <v>1</v>
      </c>
      <c r="D9" t="inlineStr">
        <is>
          <t>3</t>
        </is>
      </c>
      <c r="E9" t="inlineStr">
        <is>
          <t>atk_percent → [1]</t>
        </is>
      </c>
      <c r="F9" t="inlineStr">
        <is>
          <t>atq_5</t>
        </is>
      </c>
      <c r="G9" t="inlineStr">
        <is>
          <t>-752, -577</t>
        </is>
      </c>
      <c r="H9" t="inlineStr">
        <is>
          <t>💥</t>
        </is>
      </c>
      <c r="I9" t="inlineStr">
        <is>
          <t>Nœud spécial : +1% Attaque (1 amélioration, 3 pts).</t>
        </is>
      </c>
    </row>
    <row r="10">
      <c r="A10" s="5" t="inlineStr">
        <is>
          <t>atq_7</t>
        </is>
      </c>
      <c r="B10" s="5" t="inlineStr">
        <is>
          <t>Force 2</t>
        </is>
      </c>
      <c r="C10" s="5" t="n">
        <v>3</v>
      </c>
      <c r="D10" s="5" t="inlineStr">
        <is>
          <t>1,1,1</t>
        </is>
      </c>
      <c r="E10" s="5" t="inlineStr">
        <is>
          <t>atk_flat → [6,12,18]</t>
        </is>
      </c>
      <c r="F10" s="5" t="inlineStr">
        <is>
          <t>atq_6</t>
        </is>
      </c>
      <c r="G10" s="5" t="inlineStr">
        <is>
          <t>-826, -706</t>
        </is>
      </c>
      <c r="H10" s="5" t="inlineStr">
        <is>
          <t>💪</t>
        </is>
      </c>
      <c r="I10" s="5" t="inlineStr">
        <is>
          <t>+6 Attaque par niveau · max +18 Attaque (3 niveaux, 1 pt/niveau).</t>
        </is>
      </c>
    </row>
    <row r="11">
      <c r="A11" t="inlineStr">
        <is>
          <t>atq_8</t>
        </is>
      </c>
      <c r="B11" t="inlineStr">
        <is>
          <t>Force 2</t>
        </is>
      </c>
      <c r="C11" t="n">
        <v>3</v>
      </c>
      <c r="D11" t="inlineStr">
        <is>
          <t>1,1,1</t>
        </is>
      </c>
      <c r="E11" t="inlineStr">
        <is>
          <t>atk_flat → [6,12,18]</t>
        </is>
      </c>
      <c r="F11" t="inlineStr">
        <is>
          <t>atq_7</t>
        </is>
      </c>
      <c r="G11" t="inlineStr">
        <is>
          <t>-879, -846</t>
        </is>
      </c>
      <c r="H11" t="inlineStr">
        <is>
          <t>💪</t>
        </is>
      </c>
      <c r="I11" t="inlineStr">
        <is>
          <t>+6 Attaque par niveau · max +18 Attaque (3 niveaux, 1 pt/niveau).</t>
        </is>
      </c>
    </row>
    <row r="12">
      <c r="A12" s="5" t="inlineStr">
        <is>
          <t>atq_9</t>
        </is>
      </c>
      <c r="B12" s="5" t="inlineStr">
        <is>
          <t>Force 2</t>
        </is>
      </c>
      <c r="C12" s="5" t="n">
        <v>3</v>
      </c>
      <c r="D12" s="5" t="inlineStr">
        <is>
          <t>1,1,1</t>
        </is>
      </c>
      <c r="E12" s="5" t="inlineStr">
        <is>
          <t>atk_flat → [6,12,18]</t>
        </is>
      </c>
      <c r="F12" s="5" t="inlineStr">
        <is>
          <t>atq_8</t>
        </is>
      </c>
      <c r="G12" s="5" t="inlineStr">
        <is>
          <t>-909, -991</t>
        </is>
      </c>
      <c r="H12" s="5" t="inlineStr">
        <is>
          <t>💪</t>
        </is>
      </c>
      <c r="I12" s="5" t="inlineStr">
        <is>
          <t>+6 Attaque par niveau · max +18 Attaque (3 niveaux, 1 pt/niveau).</t>
        </is>
      </c>
    </row>
    <row r="13">
      <c r="A13" t="inlineStr">
        <is>
          <t>atq_10</t>
        </is>
      </c>
      <c r="B13" t="inlineStr">
        <is>
          <t>Force 2</t>
        </is>
      </c>
      <c r="C13" t="n">
        <v>3</v>
      </c>
      <c r="D13" t="inlineStr">
        <is>
          <t>1,1,1</t>
        </is>
      </c>
      <c r="E13" t="inlineStr">
        <is>
          <t>atk_flat → [6,12,18]</t>
        </is>
      </c>
      <c r="F13" t="inlineStr">
        <is>
          <t>atq_9</t>
        </is>
      </c>
      <c r="G13" t="inlineStr">
        <is>
          <t>-915, -1140</t>
        </is>
      </c>
      <c r="H13" t="inlineStr">
        <is>
          <t>💪</t>
        </is>
      </c>
      <c r="I13" t="inlineStr">
        <is>
          <t>+6 Attaque par niveau · max +18 Attaque (3 niveaux, 1 pt/niveau).</t>
        </is>
      </c>
    </row>
    <row r="14">
      <c r="A14" s="5" t="inlineStr">
        <is>
          <t>atq_11</t>
        </is>
      </c>
      <c r="B14" s="5" t="inlineStr">
        <is>
          <t>Force 2</t>
        </is>
      </c>
      <c r="C14" s="5" t="n">
        <v>3</v>
      </c>
      <c r="D14" s="5" t="inlineStr">
        <is>
          <t>1,1,1</t>
        </is>
      </c>
      <c r="E14" s="5" t="inlineStr">
        <is>
          <t>atk_flat → [6,12,18]</t>
        </is>
      </c>
      <c r="F14" s="5" t="inlineStr">
        <is>
          <t>atq_10</t>
        </is>
      </c>
      <c r="G14" s="5" t="inlineStr">
        <is>
          <t>-898, -1288</t>
        </is>
      </c>
      <c r="H14" s="5" t="inlineStr">
        <is>
          <t>💪</t>
        </is>
      </c>
      <c r="I14" s="5" t="inlineStr">
        <is>
          <t>+6 Attaque par niveau · max +18 Attaque (3 niveaux, 1 pt/niveau).</t>
        </is>
      </c>
    </row>
    <row r="15">
      <c r="A15" t="inlineStr">
        <is>
          <t>atq_12</t>
        </is>
      </c>
      <c r="B15" t="inlineStr">
        <is>
          <t>Œil vif</t>
        </is>
      </c>
      <c r="C15" t="n">
        <v>1</v>
      </c>
      <c r="D15" t="inlineStr">
        <is>
          <t>3</t>
        </is>
      </c>
      <c r="E15" t="inlineStr">
        <is>
          <t>crit_chance_flat → [1]</t>
        </is>
      </c>
      <c r="F15" t="inlineStr">
        <is>
          <t>atq_11</t>
        </is>
      </c>
      <c r="G15" t="inlineStr">
        <is>
          <t>-856, -1431</t>
        </is>
      </c>
      <c r="H15" t="inlineStr">
        <is>
          <t>🎯</t>
        </is>
      </c>
      <c r="I15" t="inlineStr">
        <is>
          <t>Nœud spécial : +1% de chance de critique (1 amélioration, 3 pts).</t>
        </is>
      </c>
    </row>
    <row r="16">
      <c r="A16" s="5" t="inlineStr">
        <is>
          <t>atq_13</t>
        </is>
      </c>
      <c r="B16" s="5" t="inlineStr">
        <is>
          <t>Force 3</t>
        </is>
      </c>
      <c r="C16" s="5" t="n">
        <v>3</v>
      </c>
      <c r="D16" s="5" t="inlineStr">
        <is>
          <t>1,1,1</t>
        </is>
      </c>
      <c r="E16" s="5" t="inlineStr">
        <is>
          <t>atk_flat → [7,14,21]</t>
        </is>
      </c>
      <c r="F16" s="5" t="inlineStr">
        <is>
          <t>atq_12</t>
        </is>
      </c>
      <c r="G16" s="5" t="inlineStr">
        <is>
          <t>-791, -1565</t>
        </is>
      </c>
      <c r="H16" s="5" t="inlineStr">
        <is>
          <t>💪</t>
        </is>
      </c>
      <c r="I16" s="5" t="inlineStr">
        <is>
          <t>+7 Attaque par niveau · max +21 Attaque (3 niveaux, 1 pt/niveau).</t>
        </is>
      </c>
    </row>
    <row r="17">
      <c r="A17" t="inlineStr">
        <is>
          <t>atq_14</t>
        </is>
      </c>
      <c r="B17" t="inlineStr">
        <is>
          <t>Force 3</t>
        </is>
      </c>
      <c r="C17" t="n">
        <v>3</v>
      </c>
      <c r="D17" t="inlineStr">
        <is>
          <t>1,1,1</t>
        </is>
      </c>
      <c r="E17" t="inlineStr">
        <is>
          <t>atk_flat → [7,14,21]</t>
        </is>
      </c>
      <c r="F17" t="inlineStr">
        <is>
          <t>atq_13</t>
        </is>
      </c>
      <c r="G17" t="inlineStr">
        <is>
          <t>-704, -1686</t>
        </is>
      </c>
      <c r="H17" t="inlineStr">
        <is>
          <t>💪</t>
        </is>
      </c>
      <c r="I17" t="inlineStr">
        <is>
          <t>+7 Attaque par niveau · max +21 Attaque (3 niveaux, 1 pt/niveau).</t>
        </is>
      </c>
    </row>
    <row r="18">
      <c r="A18" s="5" t="inlineStr">
        <is>
          <t>atq_15</t>
        </is>
      </c>
      <c r="B18" s="5" t="inlineStr">
        <is>
          <t>Force 3</t>
        </is>
      </c>
      <c r="C18" s="5" t="n">
        <v>3</v>
      </c>
      <c r="D18" s="5" t="inlineStr">
        <is>
          <t>1,1,1</t>
        </is>
      </c>
      <c r="E18" s="5" t="inlineStr">
        <is>
          <t>atk_flat → [7,14,21]</t>
        </is>
      </c>
      <c r="F18" s="5" t="inlineStr">
        <is>
          <t>atq_14</t>
        </is>
      </c>
      <c r="G18" s="5" t="inlineStr">
        <is>
          <t>-598, -1790</t>
        </is>
      </c>
      <c r="H18" s="5" t="inlineStr">
        <is>
          <t>💪</t>
        </is>
      </c>
      <c r="I18" s="5" t="inlineStr">
        <is>
          <t>+7 Attaque par niveau · max +21 Attaque (3 niveaux, 1 pt/niveau).</t>
        </is>
      </c>
    </row>
    <row r="19">
      <c r="A19" t="inlineStr">
        <is>
          <t>atq_16</t>
        </is>
      </c>
      <c r="B19" t="inlineStr">
        <is>
          <t>Force 3</t>
        </is>
      </c>
      <c r="C19" t="n">
        <v>3</v>
      </c>
      <c r="D19" t="inlineStr">
        <is>
          <t>1,1,1</t>
        </is>
      </c>
      <c r="E19" t="inlineStr">
        <is>
          <t>atk_flat → [7,14,21]</t>
        </is>
      </c>
      <c r="F19" t="inlineStr">
        <is>
          <t>atq_15</t>
        </is>
      </c>
      <c r="G19" t="inlineStr">
        <is>
          <t>-475, -1874</t>
        </is>
      </c>
      <c r="H19" t="inlineStr">
        <is>
          <t>💪</t>
        </is>
      </c>
      <c r="I19" t="inlineStr">
        <is>
          <t>+7 Attaque par niveau · max +21 Attaque (3 niveaux, 1 pt/niveau).</t>
        </is>
      </c>
    </row>
    <row r="20">
      <c r="A20" s="5" t="inlineStr">
        <is>
          <t>atq_17</t>
        </is>
      </c>
      <c r="B20" s="5" t="inlineStr">
        <is>
          <t>Force 3</t>
        </is>
      </c>
      <c r="C20" s="5" t="n">
        <v>3</v>
      </c>
      <c r="D20" s="5" t="inlineStr">
        <is>
          <t>1,1,1</t>
        </is>
      </c>
      <c r="E20" s="5" t="inlineStr">
        <is>
          <t>atk_flat → [7,14,21]</t>
        </is>
      </c>
      <c r="F20" s="5" t="inlineStr">
        <is>
          <t>atq_16</t>
        </is>
      </c>
      <c r="G20" s="5" t="inlineStr">
        <is>
          <t>-339, -1935</t>
        </is>
      </c>
      <c r="H20" s="5" t="inlineStr">
        <is>
          <t>💪</t>
        </is>
      </c>
      <c r="I20" s="5" t="inlineStr">
        <is>
          <t>+7 Attaque par niveau · max +21 Attaque (3 niveaux, 1 pt/niveau).</t>
        </is>
      </c>
    </row>
    <row r="21">
      <c r="A21" t="inlineStr">
        <is>
          <t>atq_18</t>
        </is>
      </c>
      <c r="B21" t="inlineStr">
        <is>
          <t>Célérité</t>
        </is>
      </c>
      <c r="C21" t="n">
        <v>1</v>
      </c>
      <c r="D21" t="inlineStr">
        <is>
          <t>3</t>
        </is>
      </c>
      <c r="E21" t="inlineStr">
        <is>
          <t>speed_flat → [1]</t>
        </is>
      </c>
      <c r="F21" t="inlineStr">
        <is>
          <t>atq_17</t>
        </is>
      </c>
      <c r="G21" t="inlineStr">
        <is>
          <t>-195, -1971</t>
        </is>
      </c>
      <c r="H21" t="inlineStr">
        <is>
          <t>💨</t>
        </is>
      </c>
      <c r="I21" t="inlineStr">
        <is>
          <t>Nœud spécial : +1 Vitesse (1 amélioration, 3 pts).</t>
        </is>
      </c>
    </row>
    <row r="22">
      <c r="A22" s="5" t="inlineStr">
        <is>
          <t>atq_19</t>
        </is>
      </c>
      <c r="B22" s="5" t="inlineStr">
        <is>
          <t>Force 4</t>
        </is>
      </c>
      <c r="C22" s="5" t="n">
        <v>3</v>
      </c>
      <c r="D22" s="5" t="inlineStr">
        <is>
          <t>1,1,1</t>
        </is>
      </c>
      <c r="E22" s="5" t="inlineStr">
        <is>
          <t>atk_flat → [8,16,24]</t>
        </is>
      </c>
      <c r="F22" s="5" t="inlineStr">
        <is>
          <t>atq_18</t>
        </is>
      </c>
      <c r="G22" s="5" t="inlineStr">
        <is>
          <t>-46, -1979</t>
        </is>
      </c>
      <c r="H22" s="5" t="inlineStr">
        <is>
          <t>💪</t>
        </is>
      </c>
      <c r="I22" s="5" t="inlineStr">
        <is>
          <t>+8 Attaque par niveau · max +24 Attaque (3 niveaux, 1 pt/niveau).</t>
        </is>
      </c>
    </row>
    <row r="23">
      <c r="A23" t="inlineStr">
        <is>
          <t>atq_20</t>
        </is>
      </c>
      <c r="B23" t="inlineStr">
        <is>
          <t>Force 4</t>
        </is>
      </c>
      <c r="C23" t="n">
        <v>3</v>
      </c>
      <c r="D23" t="inlineStr">
        <is>
          <t>1,1,1</t>
        </is>
      </c>
      <c r="E23" t="inlineStr">
        <is>
          <t>atk_flat → [8,16,24]</t>
        </is>
      </c>
      <c r="F23" t="inlineStr">
        <is>
          <t>atq_19</t>
        </is>
      </c>
      <c r="G23" t="inlineStr">
        <is>
          <t>102, -1960</t>
        </is>
      </c>
      <c r="H23" t="inlineStr">
        <is>
          <t>💪</t>
        </is>
      </c>
      <c r="I23" t="inlineStr">
        <is>
          <t>+8 Attaque par niveau · max +24 Attaque (3 niveaux, 1 pt/niveau).</t>
        </is>
      </c>
    </row>
    <row r="24">
      <c r="A24" s="5" t="inlineStr">
        <is>
          <t>atq_21</t>
        </is>
      </c>
      <c r="B24" s="5" t="inlineStr">
        <is>
          <t>Force 4</t>
        </is>
      </c>
      <c r="C24" s="5" t="n">
        <v>3</v>
      </c>
      <c r="D24" s="5" t="inlineStr">
        <is>
          <t>1,1,1</t>
        </is>
      </c>
      <c r="E24" s="5" t="inlineStr">
        <is>
          <t>atk_flat → [8,16,24]</t>
        </is>
      </c>
      <c r="F24" s="5" t="inlineStr">
        <is>
          <t>atq_20</t>
        </is>
      </c>
      <c r="G24" s="5" t="inlineStr">
        <is>
          <t>243, -1913</t>
        </is>
      </c>
      <c r="H24" s="5" t="inlineStr">
        <is>
          <t>💪</t>
        </is>
      </c>
      <c r="I24" s="5" t="inlineStr">
        <is>
          <t>+8 Attaque par niveau · max +24 Attaque (3 niveaux, 1 pt/niveau).</t>
        </is>
      </c>
    </row>
    <row r="25">
      <c r="A25" t="inlineStr">
        <is>
          <t>atq_22</t>
        </is>
      </c>
      <c r="B25" t="inlineStr">
        <is>
          <t>Force 4</t>
        </is>
      </c>
      <c r="C25" t="n">
        <v>3</v>
      </c>
      <c r="D25" t="inlineStr">
        <is>
          <t>1,1,1</t>
        </is>
      </c>
      <c r="E25" t="inlineStr">
        <is>
          <t>atk_flat → [8,16,24]</t>
        </is>
      </c>
      <c r="F25" t="inlineStr">
        <is>
          <t>atq_21</t>
        </is>
      </c>
      <c r="G25" t="inlineStr">
        <is>
          <t>373, -1840</t>
        </is>
      </c>
      <c r="H25" t="inlineStr">
        <is>
          <t>💪</t>
        </is>
      </c>
      <c r="I25" t="inlineStr">
        <is>
          <t>+8 Attaque par niveau · max +24 Attaque (3 niveaux, 1 pt/niveau).</t>
        </is>
      </c>
    </row>
    <row r="26">
      <c r="A26" s="5" t="inlineStr">
        <is>
          <t>atq_23</t>
        </is>
      </c>
      <c r="B26" s="5" t="inlineStr">
        <is>
          <t>Force 4</t>
        </is>
      </c>
      <c r="C26" s="5" t="n">
        <v>3</v>
      </c>
      <c r="D26" s="5" t="inlineStr">
        <is>
          <t>1,1,1</t>
        </is>
      </c>
      <c r="E26" s="5" t="inlineStr">
        <is>
          <t>atk_flat → [8,16,24]</t>
        </is>
      </c>
      <c r="F26" s="5" t="inlineStr">
        <is>
          <t>atq_22</t>
        </is>
      </c>
      <c r="G26" s="5" t="inlineStr">
        <is>
          <t>485, -1743</t>
        </is>
      </c>
      <c r="H26" s="5" t="inlineStr">
        <is>
          <t>💪</t>
        </is>
      </c>
      <c r="I26" s="5" t="inlineStr">
        <is>
          <t>+8 Attaque par niveau · max +24 Attaque (3 niveaux, 1 pt/niveau).</t>
        </is>
      </c>
    </row>
    <row r="27">
      <c r="A27" t="inlineStr">
        <is>
          <t>atq_24</t>
        </is>
      </c>
      <c r="B27" t="inlineStr">
        <is>
          <t>Coup dévastateur</t>
        </is>
      </c>
      <c r="C27" t="n">
        <v>1</v>
      </c>
      <c r="D27" t="inlineStr">
        <is>
          <t>3</t>
        </is>
      </c>
      <c r="E27" t="inlineStr">
        <is>
          <t>crit_damage_flat → [5]</t>
        </is>
      </c>
      <c r="F27" t="inlineStr">
        <is>
          <t>atq_23</t>
        </is>
      </c>
      <c r="G27" t="inlineStr">
        <is>
          <t>576, -1625</t>
        </is>
      </c>
      <c r="H27" t="inlineStr">
        <is>
          <t>🔥</t>
        </is>
      </c>
      <c r="I27" t="inlineStr">
        <is>
          <t>Nœud spécial : +5% de dégâts critiques (1 amélioration, 3 pts).</t>
        </is>
      </c>
    </row>
    <row r="28">
      <c r="A28" s="5" t="inlineStr">
        <is>
          <t>atq_25</t>
        </is>
      </c>
      <c r="B28" s="5" t="inlineStr">
        <is>
          <t>Force 5</t>
        </is>
      </c>
      <c r="C28" s="5" t="n">
        <v>3</v>
      </c>
      <c r="D28" s="5" t="inlineStr">
        <is>
          <t>1,1,1</t>
        </is>
      </c>
      <c r="E28" s="5" t="inlineStr">
        <is>
          <t>atk_flat → [9,18,27]</t>
        </is>
      </c>
      <c r="F28" s="5" t="inlineStr">
        <is>
          <t>atq_24</t>
        </is>
      </c>
      <c r="G28" s="5" t="inlineStr">
        <is>
          <t>641, -1492</t>
        </is>
      </c>
      <c r="H28" s="5" t="inlineStr">
        <is>
          <t>💪</t>
        </is>
      </c>
      <c r="I28" s="5" t="inlineStr">
        <is>
          <t>+9 Attaque par niveau · max +27 Attaque (3 niveaux, 1 pt/niveau).</t>
        </is>
      </c>
    </row>
    <row r="29">
      <c r="A29" t="inlineStr">
        <is>
          <t>atq_26</t>
        </is>
      </c>
      <c r="B29" t="inlineStr">
        <is>
          <t>Force 5</t>
        </is>
      </c>
      <c r="C29" t="n">
        <v>3</v>
      </c>
      <c r="D29" t="inlineStr">
        <is>
          <t>1,1,1</t>
        </is>
      </c>
      <c r="E29" t="inlineStr">
        <is>
          <t>atk_flat → [9,18,27]</t>
        </is>
      </c>
      <c r="F29" t="inlineStr">
        <is>
          <t>atq_25</t>
        </is>
      </c>
      <c r="G29" t="inlineStr">
        <is>
          <t>677, -1347</t>
        </is>
      </c>
      <c r="H29" t="inlineStr">
        <is>
          <t>💪</t>
        </is>
      </c>
      <c r="I29" t="inlineStr">
        <is>
          <t>+9 Attaque par niveau · max +27 Attaque (3 niveaux, 1 pt/niveau).</t>
        </is>
      </c>
    </row>
    <row r="30">
      <c r="A30" s="5" t="inlineStr">
        <is>
          <t>atq_27</t>
        </is>
      </c>
      <c r="B30" s="5" t="inlineStr">
        <is>
          <t>Force 5</t>
        </is>
      </c>
      <c r="C30" s="5" t="n">
        <v>3</v>
      </c>
      <c r="D30" s="5" t="inlineStr">
        <is>
          <t>1,1,1</t>
        </is>
      </c>
      <c r="E30" s="5" t="inlineStr">
        <is>
          <t>atk_flat → [9,18,27]</t>
        </is>
      </c>
      <c r="F30" s="5" t="inlineStr">
        <is>
          <t>atq_26</t>
        </is>
      </c>
      <c r="G30" s="5" t="inlineStr">
        <is>
          <t>681, -1198</t>
        </is>
      </c>
      <c r="H30" s="5" t="inlineStr">
        <is>
          <t>💪</t>
        </is>
      </c>
      <c r="I30" s="5" t="inlineStr">
        <is>
          <t>+9 Attaque par niveau · max +27 Attaque (3 niveaux, 1 pt/niveau).</t>
        </is>
      </c>
    </row>
    <row r="31">
      <c r="A31" t="inlineStr">
        <is>
          <t>atq_28</t>
        </is>
      </c>
      <c r="B31" t="inlineStr">
        <is>
          <t>Force 5</t>
        </is>
      </c>
      <c r="C31" t="n">
        <v>3</v>
      </c>
      <c r="D31" t="inlineStr">
        <is>
          <t>1,1,1</t>
        </is>
      </c>
      <c r="E31" t="inlineStr">
        <is>
          <t>atk_flat → [9,18,27]</t>
        </is>
      </c>
      <c r="F31" t="inlineStr">
        <is>
          <t>atq_27</t>
        </is>
      </c>
      <c r="G31" t="inlineStr">
        <is>
          <t>653, -1052</t>
        </is>
      </c>
      <c r="H31" t="inlineStr">
        <is>
          <t>💪</t>
        </is>
      </c>
      <c r="I31" t="inlineStr">
        <is>
          <t>+9 Attaque par niveau · max +27 Attaque (3 niveaux, 1 pt/niveau).</t>
        </is>
      </c>
    </row>
    <row r="32">
      <c r="A32" s="5" t="inlineStr">
        <is>
          <t>atq_29</t>
        </is>
      </c>
      <c r="B32" s="5" t="inlineStr">
        <is>
          <t>Force 5</t>
        </is>
      </c>
      <c r="C32" s="5" t="n">
        <v>3</v>
      </c>
      <c r="D32" s="5" t="inlineStr">
        <is>
          <t>1,1,1</t>
        </is>
      </c>
      <c r="E32" s="5" t="inlineStr">
        <is>
          <t>atk_flat → [9,18,27]</t>
        </is>
      </c>
      <c r="F32" s="5" t="inlineStr">
        <is>
          <t>atq_28</t>
        </is>
      </c>
      <c r="G32" s="5" t="inlineStr">
        <is>
          <t>592, -917</t>
        </is>
      </c>
      <c r="H32" s="5" t="inlineStr">
        <is>
          <t>💪</t>
        </is>
      </c>
      <c r="I32" s="5" t="inlineStr">
        <is>
          <t>+9 Attaque par niveau · max +27 Attaque (3 niveaux, 1 pt/niveau).</t>
        </is>
      </c>
    </row>
    <row r="33">
      <c r="A33" t="inlineStr">
        <is>
          <t>atq_30</t>
        </is>
      </c>
      <c r="B33" t="inlineStr">
        <is>
          <t>Frappe affûtée</t>
        </is>
      </c>
      <c r="C33" t="n">
        <v>1</v>
      </c>
      <c r="D33" t="inlineStr">
        <is>
          <t>3</t>
        </is>
      </c>
      <c r="E33" t="inlineStr">
        <is>
          <t>atk_percent → [1]</t>
        </is>
      </c>
      <c r="F33" t="inlineStr">
        <is>
          <t>atq_29</t>
        </is>
      </c>
      <c r="G33" t="inlineStr">
        <is>
          <t>502, -798</t>
        </is>
      </c>
      <c r="H33" t="inlineStr">
        <is>
          <t>💥</t>
        </is>
      </c>
      <c r="I33" t="inlineStr">
        <is>
          <t>Nœud spécial : +1% Attaque (1 amélioration, 3 pts).</t>
        </is>
      </c>
    </row>
    <row r="34">
      <c r="A34" s="5" t="inlineStr">
        <is>
          <t>atq_31</t>
        </is>
      </c>
      <c r="B34" s="5" t="inlineStr">
        <is>
          <t>Force 6</t>
        </is>
      </c>
      <c r="C34" s="5" t="n">
        <v>3</v>
      </c>
      <c r="D34" s="5" t="inlineStr">
        <is>
          <t>1,1,1</t>
        </is>
      </c>
      <c r="E34" s="5" t="inlineStr">
        <is>
          <t>atk_flat → [10,20,30]</t>
        </is>
      </c>
      <c r="F34" s="5" t="inlineStr">
        <is>
          <t>atq_30</t>
        </is>
      </c>
      <c r="G34" s="5" t="inlineStr">
        <is>
          <t>387, -704</t>
        </is>
      </c>
      <c r="H34" s="5" t="inlineStr">
        <is>
          <t>💪</t>
        </is>
      </c>
      <c r="I34" s="5" t="inlineStr">
        <is>
          <t>+10 Attaque par niveau · max +30 Attaque (3 niveaux, 1 pt/niveau).</t>
        </is>
      </c>
    </row>
    <row r="35">
      <c r="A35" t="inlineStr">
        <is>
          <t>atq_32</t>
        </is>
      </c>
      <c r="B35" t="inlineStr">
        <is>
          <t>Force 6</t>
        </is>
      </c>
      <c r="C35" t="n">
        <v>3</v>
      </c>
      <c r="D35" t="inlineStr">
        <is>
          <t>1,1,1</t>
        </is>
      </c>
      <c r="E35" t="inlineStr">
        <is>
          <t>atk_flat → [10,20,30]</t>
        </is>
      </c>
      <c r="F35" t="inlineStr">
        <is>
          <t>atq_31</t>
        </is>
      </c>
      <c r="G35" t="inlineStr">
        <is>
          <t>252, -641</t>
        </is>
      </c>
      <c r="H35" t="inlineStr">
        <is>
          <t>💪</t>
        </is>
      </c>
      <c r="I35" t="inlineStr">
        <is>
          <t>+10 Attaque par niveau · max +30 Attaque (3 niveaux, 1 pt/niveau).</t>
        </is>
      </c>
    </row>
    <row r="36">
      <c r="A36" s="5" t="inlineStr">
        <is>
          <t>atq_33</t>
        </is>
      </c>
      <c r="B36" s="5" t="inlineStr">
        <is>
          <t>Force 6</t>
        </is>
      </c>
      <c r="C36" s="5" t="n">
        <v>3</v>
      </c>
      <c r="D36" s="5" t="inlineStr">
        <is>
          <t>1,1,1</t>
        </is>
      </c>
      <c r="E36" s="5" t="inlineStr">
        <is>
          <t>atk_flat → [10,20,30]</t>
        </is>
      </c>
      <c r="F36" s="5" t="inlineStr">
        <is>
          <t>atq_32</t>
        </is>
      </c>
      <c r="G36" s="5" t="inlineStr">
        <is>
          <t>106, -614</t>
        </is>
      </c>
      <c r="H36" s="5" t="inlineStr">
        <is>
          <t>💪</t>
        </is>
      </c>
      <c r="I36" s="5" t="inlineStr">
        <is>
          <t>+10 Attaque par niveau · max +30 Attaque (3 niveaux, 1 pt/niveau).</t>
        </is>
      </c>
    </row>
    <row r="37">
      <c r="A37" t="inlineStr">
        <is>
          <t>atq_34</t>
        </is>
      </c>
      <c r="B37" t="inlineStr">
        <is>
          <t>Force 6</t>
        </is>
      </c>
      <c r="C37" t="n">
        <v>3</v>
      </c>
      <c r="D37" t="inlineStr">
        <is>
          <t>1,1,1</t>
        </is>
      </c>
      <c r="E37" t="inlineStr">
        <is>
          <t>atk_flat → [10,20,30]</t>
        </is>
      </c>
      <c r="F37" t="inlineStr">
        <is>
          <t>atq_33</t>
        </is>
      </c>
      <c r="G37" t="inlineStr">
        <is>
          <t>-42, -625</t>
        </is>
      </c>
      <c r="H37" t="inlineStr">
        <is>
          <t>💪</t>
        </is>
      </c>
      <c r="I37" t="inlineStr">
        <is>
          <t>+10 Attaque par niveau · max +30 Attaque (3 niveaux, 1 pt/niveau).</t>
        </is>
      </c>
    </row>
    <row r="38">
      <c r="A38" s="5" t="inlineStr">
        <is>
          <t>atq_35</t>
        </is>
      </c>
      <c r="B38" s="5" t="inlineStr">
        <is>
          <t>Force 6</t>
        </is>
      </c>
      <c r="C38" s="5" t="n">
        <v>3</v>
      </c>
      <c r="D38" s="5" t="inlineStr">
        <is>
          <t>1,1,1</t>
        </is>
      </c>
      <c r="E38" s="5" t="inlineStr">
        <is>
          <t>atk_flat → [10,20,30]</t>
        </is>
      </c>
      <c r="F38" s="5" t="inlineStr">
        <is>
          <t>atq_34</t>
        </is>
      </c>
      <c r="G38" s="5" t="inlineStr">
        <is>
          <t>-182, -675</t>
        </is>
      </c>
      <c r="H38" s="5" t="inlineStr">
        <is>
          <t>💪</t>
        </is>
      </c>
      <c r="I38" s="5" t="inlineStr">
        <is>
          <t>+10 Attaque par niveau · max +30 Attaque (3 niveaux, 1 pt/niveau).</t>
        </is>
      </c>
    </row>
    <row r="39">
      <c r="A39" t="inlineStr">
        <is>
          <t>atq_36</t>
        </is>
      </c>
      <c r="B39" t="inlineStr">
        <is>
          <t>Œil vif</t>
        </is>
      </c>
      <c r="C39" t="n">
        <v>1</v>
      </c>
      <c r="D39" t="inlineStr">
        <is>
          <t>3</t>
        </is>
      </c>
      <c r="E39" t="inlineStr">
        <is>
          <t>crit_chance_flat → [1]</t>
        </is>
      </c>
      <c r="F39" t="inlineStr">
        <is>
          <t>atq_35</t>
        </is>
      </c>
      <c r="G39" t="inlineStr">
        <is>
          <t>-302, -762</t>
        </is>
      </c>
      <c r="H39" t="inlineStr">
        <is>
          <t>🎯</t>
        </is>
      </c>
      <c r="I39" t="inlineStr">
        <is>
          <t>Nœud spécial : +1% de chance de critique (1 amélioration, 3 pts).</t>
        </is>
      </c>
    </row>
    <row r="40">
      <c r="A40" s="5" t="inlineStr">
        <is>
          <t>atq_37</t>
        </is>
      </c>
      <c r="B40" s="5" t="inlineStr">
        <is>
          <t>Force 7</t>
        </is>
      </c>
      <c r="C40" s="5" t="n">
        <v>3</v>
      </c>
      <c r="D40" s="5" t="inlineStr">
        <is>
          <t>1,1,1</t>
        </is>
      </c>
      <c r="E40" s="5" t="inlineStr">
        <is>
          <t>atk_flat → [11,22,33]</t>
        </is>
      </c>
      <c r="F40" s="5" t="inlineStr">
        <is>
          <t>atq_36</t>
        </is>
      </c>
      <c r="G40" s="5" t="inlineStr">
        <is>
          <t>-393, -880</t>
        </is>
      </c>
      <c r="H40" s="5" t="inlineStr">
        <is>
          <t>💪</t>
        </is>
      </c>
      <c r="I40" s="5" t="inlineStr">
        <is>
          <t>+11 Attaque par niveau · max +33 Attaque (3 niveaux, 1 pt/niveau).</t>
        </is>
      </c>
    </row>
    <row r="41">
      <c r="A41" t="inlineStr">
        <is>
          <t>atq_38</t>
        </is>
      </c>
      <c r="B41" t="inlineStr">
        <is>
          <t>Force 7</t>
        </is>
      </c>
      <c r="C41" t="n">
        <v>3</v>
      </c>
      <c r="D41" t="inlineStr">
        <is>
          <t>1,1,1</t>
        </is>
      </c>
      <c r="E41" t="inlineStr">
        <is>
          <t>atk_flat → [11,22,33]</t>
        </is>
      </c>
      <c r="F41" t="inlineStr">
        <is>
          <t>atq_37</t>
        </is>
      </c>
      <c r="G41" t="inlineStr">
        <is>
          <t>-443, -1019</t>
        </is>
      </c>
      <c r="H41" t="inlineStr">
        <is>
          <t>💪</t>
        </is>
      </c>
      <c r="I41" t="inlineStr">
        <is>
          <t>+11 Attaque par niveau · max +33 Attaque (3 niveaux, 1 pt/niveau).</t>
        </is>
      </c>
    </row>
    <row r="42">
      <c r="A42" s="5" t="inlineStr">
        <is>
          <t>atq_39</t>
        </is>
      </c>
      <c r="B42" s="5" t="inlineStr">
        <is>
          <t>Force 7</t>
        </is>
      </c>
      <c r="C42" s="5" t="n">
        <v>3</v>
      </c>
      <c r="D42" s="5" t="inlineStr">
        <is>
          <t>1,1,1</t>
        </is>
      </c>
      <c r="E42" s="5" t="inlineStr">
        <is>
          <t>atk_flat → [11,22,33]</t>
        </is>
      </c>
      <c r="F42" s="5" t="inlineStr">
        <is>
          <t>atq_38</t>
        </is>
      </c>
      <c r="G42" s="5" t="inlineStr">
        <is>
          <t>-448, -1168</t>
        </is>
      </c>
      <c r="H42" s="5" t="inlineStr">
        <is>
          <t>💪</t>
        </is>
      </c>
      <c r="I42" s="5" t="inlineStr">
        <is>
          <t>+11 Attaque par niveau · max +33 Attaque (3 niveaux, 1 pt/niveau).</t>
        </is>
      </c>
    </row>
    <row r="43">
      <c r="A43" t="inlineStr">
        <is>
          <t>atq_40</t>
        </is>
      </c>
      <c r="B43" t="inlineStr">
        <is>
          <t>Force 7</t>
        </is>
      </c>
      <c r="C43" t="n">
        <v>3</v>
      </c>
      <c r="D43" t="inlineStr">
        <is>
          <t>1,1,1</t>
        </is>
      </c>
      <c r="E43" t="inlineStr">
        <is>
          <t>atk_flat → [11,22,33]</t>
        </is>
      </c>
      <c r="F43" t="inlineStr">
        <is>
          <t>atq_39</t>
        </is>
      </c>
      <c r="G43" t="inlineStr">
        <is>
          <t>-402, -1309</t>
        </is>
      </c>
      <c r="H43" t="inlineStr">
        <is>
          <t>💪</t>
        </is>
      </c>
      <c r="I43" t="inlineStr">
        <is>
          <t>+11 Attaque par niveau · max +33 Attaque (3 niveaux, 1 pt/niveau).</t>
        </is>
      </c>
    </row>
    <row r="44">
      <c r="A44" s="5" t="inlineStr">
        <is>
          <t>atq_41</t>
        </is>
      </c>
      <c r="B44" s="5" t="inlineStr">
        <is>
          <t>Force 7</t>
        </is>
      </c>
      <c r="C44" s="5" t="n">
        <v>3</v>
      </c>
      <c r="D44" s="5" t="inlineStr">
        <is>
          <t>1,1,1</t>
        </is>
      </c>
      <c r="E44" s="5" t="inlineStr">
        <is>
          <t>atk_flat → [11,22,33]</t>
        </is>
      </c>
      <c r="F44" s="5" t="inlineStr">
        <is>
          <t>atq_40</t>
        </is>
      </c>
      <c r="G44" s="5" t="inlineStr">
        <is>
          <t>-311, -1425</t>
        </is>
      </c>
      <c r="H44" s="5" t="inlineStr">
        <is>
          <t>💪</t>
        </is>
      </c>
      <c r="I44" s="5" t="inlineStr">
        <is>
          <t>+11 Attaque par niveau · max +33 Attaque (3 niveaux, 1 pt/niveau).</t>
        </is>
      </c>
    </row>
    <row r="45">
      <c r="A45" t="inlineStr">
        <is>
          <t>atq_42</t>
        </is>
      </c>
      <c r="B45" t="inlineStr">
        <is>
          <t>Célérité</t>
        </is>
      </c>
      <c r="C45" t="n">
        <v>1</v>
      </c>
      <c r="D45" t="inlineStr">
        <is>
          <t>3</t>
        </is>
      </c>
      <c r="E45" t="inlineStr">
        <is>
          <t>speed_flat → [1]</t>
        </is>
      </c>
      <c r="F45" t="inlineStr">
        <is>
          <t>atq_41</t>
        </is>
      </c>
      <c r="G45" t="inlineStr">
        <is>
          <t>-182, -1499</t>
        </is>
      </c>
      <c r="H45" t="inlineStr">
        <is>
          <t>💨</t>
        </is>
      </c>
      <c r="I45" t="inlineStr">
        <is>
          <t>Nœud spécial : +1 Vitesse (1 amélioration, 3 pts).</t>
        </is>
      </c>
    </row>
    <row r="46">
      <c r="A46" s="5" t="inlineStr">
        <is>
          <t>atq_43</t>
        </is>
      </c>
      <c r="B46" s="5" t="inlineStr">
        <is>
          <t>Force 8</t>
        </is>
      </c>
      <c r="C46" s="5" t="n">
        <v>3</v>
      </c>
      <c r="D46" s="5" t="inlineStr">
        <is>
          <t>1,1,1</t>
        </is>
      </c>
      <c r="E46" s="5" t="inlineStr">
        <is>
          <t>atk_flat → [12,24,36]</t>
        </is>
      </c>
      <c r="F46" s="5" t="inlineStr">
        <is>
          <t>atq_42</t>
        </is>
      </c>
      <c r="G46" s="5" t="inlineStr">
        <is>
          <t>-35, -1515</t>
        </is>
      </c>
      <c r="H46" s="5" t="inlineStr">
        <is>
          <t>💪</t>
        </is>
      </c>
      <c r="I46" s="5" t="inlineStr">
        <is>
          <t>+12 Attaque par niveau · max +36 Attaque (3 niveaux, 1 pt/niveau).</t>
        </is>
      </c>
    </row>
    <row r="47">
      <c r="A47" t="inlineStr">
        <is>
          <t>atq_44</t>
        </is>
      </c>
      <c r="B47" t="inlineStr">
        <is>
          <t>Force 8</t>
        </is>
      </c>
      <c r="C47" t="n">
        <v>3</v>
      </c>
      <c r="D47" t="inlineStr">
        <is>
          <t>1,1,1</t>
        </is>
      </c>
      <c r="E47" t="inlineStr">
        <is>
          <t>atk_flat → [12,24,36]</t>
        </is>
      </c>
      <c r="F47" t="inlineStr">
        <is>
          <t>atq_43</t>
        </is>
      </c>
      <c r="G47" t="inlineStr">
        <is>
          <t>104, -1464</t>
        </is>
      </c>
      <c r="H47" t="inlineStr">
        <is>
          <t>💪</t>
        </is>
      </c>
      <c r="I47" t="inlineStr">
        <is>
          <t>+12 Attaque par niveau · max +36 Attaque (3 niveaux, 1 pt/niveau).</t>
        </is>
      </c>
    </row>
    <row r="48">
      <c r="A48" s="5" t="inlineStr">
        <is>
          <t>atq_45</t>
        </is>
      </c>
      <c r="B48" s="5" t="inlineStr">
        <is>
          <t>Force 8</t>
        </is>
      </c>
      <c r="C48" s="5" t="n">
        <v>3</v>
      </c>
      <c r="D48" s="5" t="inlineStr">
        <is>
          <t>1,1,1</t>
        </is>
      </c>
      <c r="E48" s="5" t="inlineStr">
        <is>
          <t>atk_flat → [12,24,36]</t>
        </is>
      </c>
      <c r="F48" s="5" t="inlineStr">
        <is>
          <t>atq_44</t>
        </is>
      </c>
      <c r="G48" s="5" t="inlineStr">
        <is>
          <t>200, -1353</t>
        </is>
      </c>
      <c r="H48" s="5" t="inlineStr">
        <is>
          <t>💪</t>
        </is>
      </c>
      <c r="I48" s="5" t="inlineStr">
        <is>
          <t>+12 Attaque par niveau · max +36 Attaque (3 niveaux, 1 pt/niveau).</t>
        </is>
      </c>
    </row>
    <row r="49">
      <c r="A49" t="inlineStr">
        <is>
          <t>atq_46</t>
        </is>
      </c>
      <c r="B49" t="inlineStr">
        <is>
          <t>Force 8</t>
        </is>
      </c>
      <c r="C49" t="n">
        <v>3</v>
      </c>
      <c r="D49" t="inlineStr">
        <is>
          <t>1,1,1</t>
        </is>
      </c>
      <c r="E49" t="inlineStr">
        <is>
          <t>atk_flat → [12,24,36]</t>
        </is>
      </c>
      <c r="F49" t="inlineStr">
        <is>
          <t>atq_45</t>
        </is>
      </c>
      <c r="G49" t="inlineStr">
        <is>
          <t>220, -1208</t>
        </is>
      </c>
      <c r="H49" t="inlineStr">
        <is>
          <t>💪</t>
        </is>
      </c>
      <c r="I49" t="inlineStr">
        <is>
          <t>+12 Attaque par niveau · max +36 Attaque (3 niveaux, 1 pt/niveau).</t>
        </is>
      </c>
    </row>
    <row r="50">
      <c r="A50" s="5" t="inlineStr">
        <is>
          <t>atq_47</t>
        </is>
      </c>
      <c r="B50" s="5" t="inlineStr">
        <is>
          <t>Force 8</t>
        </is>
      </c>
      <c r="C50" s="5" t="n">
        <v>3</v>
      </c>
      <c r="D50" s="5" t="inlineStr">
        <is>
          <t>1,1,1</t>
        </is>
      </c>
      <c r="E50" s="5" t="inlineStr">
        <is>
          <t>atk_flat → [12,24,36]</t>
        </is>
      </c>
      <c r="F50" s="5" t="inlineStr">
        <is>
          <t>atq_46</t>
        </is>
      </c>
      <c r="G50" s="5" t="inlineStr">
        <is>
          <t>140, -1087</t>
        </is>
      </c>
      <c r="H50" s="5" t="inlineStr">
        <is>
          <t>💪</t>
        </is>
      </c>
      <c r="I50" s="5" t="inlineStr">
        <is>
          <t>+12 Attaque par niveau · max +36 Attaque (3 niveaux, 1 pt/niveau).</t>
        </is>
      </c>
    </row>
    <row r="51">
      <c r="A51" t="inlineStr">
        <is>
          <t>atq_48</t>
        </is>
      </c>
      <c r="B51" t="inlineStr">
        <is>
          <t>Coup dévastateur</t>
        </is>
      </c>
      <c r="C51" t="n">
        <v>1</v>
      </c>
      <c r="D51" t="inlineStr">
        <is>
          <t>3</t>
        </is>
      </c>
      <c r="E51" t="inlineStr">
        <is>
          <t>crit_damage_flat → [5]</t>
        </is>
      </c>
      <c r="F51" t="inlineStr">
        <is>
          <t>atq_47</t>
        </is>
      </c>
      <c r="G51" t="inlineStr">
        <is>
          <t>0, -1085</t>
        </is>
      </c>
      <c r="H51" t="inlineStr">
        <is>
          <t>🔥</t>
        </is>
      </c>
      <c r="I51" t="inlineStr">
        <is>
          <t>Nœud spécial : +5% de dégâts critiques (1 amélioration, 3 pts).</t>
        </is>
      </c>
    </row>
    <row r="52">
      <c r="A52" s="5" t="inlineStr">
        <is>
          <t>voie_def</t>
        </is>
      </c>
      <c r="B52" s="5" t="inlineStr">
        <is>
          <t>Voie de la Défense</t>
        </is>
      </c>
      <c r="C52" s="5" t="n">
        <v>1</v>
      </c>
      <c r="D52" s="5" t="inlineStr">
        <is>
          <t>1</t>
        </is>
      </c>
      <c r="E52" s="5" t="inlineStr">
        <is>
          <t>—</t>
        </is>
      </c>
      <c r="F52" s="5" t="inlineStr">
        <is>
          <t>aventurier</t>
        </is>
      </c>
      <c r="G52" s="5" t="inlineStr">
        <is>
          <t>130, 75</t>
        </is>
      </c>
      <c r="H52" s="5" t="inlineStr">
        <is>
          <t>🛡️</t>
        </is>
      </c>
      <c r="I52" s="5" t="inlineStr">
        <is>
          <t>Entrée de la voie de la défense.</t>
        </is>
      </c>
    </row>
    <row r="53">
      <c r="A53" t="inlineStr">
        <is>
          <t>def_1</t>
        </is>
      </c>
      <c r="B53" t="inlineStr">
        <is>
          <t>Armure 1</t>
        </is>
      </c>
      <c r="C53" t="n">
        <v>3</v>
      </c>
      <c r="D53" t="inlineStr">
        <is>
          <t>1,1,1</t>
        </is>
      </c>
      <c r="E53" t="inlineStr">
        <is>
          <t>def_flat → [5,10,15]</t>
        </is>
      </c>
      <c r="F53" t="inlineStr">
        <is>
          <t>voie_def</t>
        </is>
      </c>
      <c r="G53" t="inlineStr">
        <is>
          <t>222, -42</t>
        </is>
      </c>
      <c r="H53" t="inlineStr">
        <is>
          <t>🛡️</t>
        </is>
      </c>
      <c r="I53" t="inlineStr">
        <is>
          <t>+5 Défense par niveau · max +15 Défense (3 niveaux, 1 pt/niveau).</t>
        </is>
      </c>
    </row>
    <row r="54">
      <c r="A54" s="5" t="inlineStr">
        <is>
          <t>def_2</t>
        </is>
      </c>
      <c r="B54" s="5" t="inlineStr">
        <is>
          <t>Vitalité 1</t>
        </is>
      </c>
      <c r="C54" s="5" t="n">
        <v>3</v>
      </c>
      <c r="D54" s="5" t="inlineStr">
        <is>
          <t>1,1,1</t>
        </is>
      </c>
      <c r="E54" s="5" t="inlineStr">
        <is>
          <t>hp_max_flat → [100,200,300]</t>
        </is>
      </c>
      <c r="F54" s="5" t="inlineStr">
        <is>
          <t>def_1</t>
        </is>
      </c>
      <c r="G54" s="5" t="inlineStr">
        <is>
          <t>331, -144</t>
        </is>
      </c>
      <c r="H54" s="5" t="inlineStr">
        <is>
          <t>❤️</t>
        </is>
      </c>
      <c r="I54" s="5" t="inlineStr">
        <is>
          <t>+100 PV max par niveau · max +300 PV max (3 niveaux, 1 pt/niveau).</t>
        </is>
      </c>
    </row>
    <row r="55">
      <c r="A55" t="inlineStr">
        <is>
          <t>def_3</t>
        </is>
      </c>
      <c r="B55" t="inlineStr">
        <is>
          <t>Armure 1</t>
        </is>
      </c>
      <c r="C55" t="n">
        <v>3</v>
      </c>
      <c r="D55" t="inlineStr">
        <is>
          <t>1,1,1</t>
        </is>
      </c>
      <c r="E55" t="inlineStr">
        <is>
          <t>def_flat → [5,10,15]</t>
        </is>
      </c>
      <c r="F55" t="inlineStr">
        <is>
          <t>def_2</t>
        </is>
      </c>
      <c r="G55" t="inlineStr">
        <is>
          <t>453, -229</t>
        </is>
      </c>
      <c r="H55" t="inlineStr">
        <is>
          <t>🛡️</t>
        </is>
      </c>
      <c r="I55" t="inlineStr">
        <is>
          <t>+5 Défense par niveau · max +15 Défense (3 niveaux, 1 pt/niveau).</t>
        </is>
      </c>
    </row>
    <row r="56">
      <c r="A56" s="5" t="inlineStr">
        <is>
          <t>def_4</t>
        </is>
      </c>
      <c r="B56" s="5" t="inlineStr">
        <is>
          <t>Vitalité 1</t>
        </is>
      </c>
      <c r="C56" s="5" t="n">
        <v>3</v>
      </c>
      <c r="D56" s="5" t="inlineStr">
        <is>
          <t>1,1,1</t>
        </is>
      </c>
      <c r="E56" s="5" t="inlineStr">
        <is>
          <t>hp_max_flat → [100,200,300]</t>
        </is>
      </c>
      <c r="F56" s="5" t="inlineStr">
        <is>
          <t>def_3</t>
        </is>
      </c>
      <c r="G56" s="5" t="inlineStr">
        <is>
          <t>586, -295</t>
        </is>
      </c>
      <c r="H56" s="5" t="inlineStr">
        <is>
          <t>❤️</t>
        </is>
      </c>
      <c r="I56" s="5" t="inlineStr">
        <is>
          <t>+100 PV max par niveau · max +300 PV max (3 niveaux, 1 pt/niveau).</t>
        </is>
      </c>
    </row>
    <row r="57">
      <c r="A57" t="inlineStr">
        <is>
          <t>def_5</t>
        </is>
      </c>
      <c r="B57" t="inlineStr">
        <is>
          <t>Armure 1</t>
        </is>
      </c>
      <c r="C57" t="n">
        <v>3</v>
      </c>
      <c r="D57" t="inlineStr">
        <is>
          <t>1,1,1</t>
        </is>
      </c>
      <c r="E57" t="inlineStr">
        <is>
          <t>def_flat → [5,10,15]</t>
        </is>
      </c>
      <c r="F57" t="inlineStr">
        <is>
          <t>def_4</t>
        </is>
      </c>
      <c r="G57" t="inlineStr">
        <is>
          <t>728, -340</t>
        </is>
      </c>
      <c r="H57" t="inlineStr">
        <is>
          <t>🛡️</t>
        </is>
      </c>
      <c r="I57" t="inlineStr">
        <is>
          <t>+5 Défense par niveau · max +15 Défense (3 niveaux, 1 pt/niveau).</t>
        </is>
      </c>
    </row>
    <row r="58">
      <c r="A58" s="5" t="inlineStr">
        <is>
          <t>def_6</t>
        </is>
      </c>
      <c r="B58" s="5" t="inlineStr">
        <is>
          <t>Peau de pierre</t>
        </is>
      </c>
      <c r="C58" s="5" t="n">
        <v>1</v>
      </c>
      <c r="D58" s="5" t="inlineStr">
        <is>
          <t>3</t>
        </is>
      </c>
      <c r="E58" s="5" t="inlineStr">
        <is>
          <t>def_percent → [1]</t>
        </is>
      </c>
      <c r="F58" s="5" t="inlineStr">
        <is>
          <t>def_5</t>
        </is>
      </c>
      <c r="G58" s="5" t="inlineStr">
        <is>
          <t>876, -362</t>
        </is>
      </c>
      <c r="H58" s="5" t="inlineStr">
        <is>
          <t>🪨</t>
        </is>
      </c>
      <c r="I58" s="5" t="inlineStr">
        <is>
          <t>Nœud spécial : +1% Défense (1 amélioration, 3 pts).</t>
        </is>
      </c>
    </row>
    <row r="59">
      <c r="A59" t="inlineStr">
        <is>
          <t>def_7</t>
        </is>
      </c>
      <c r="B59" t="inlineStr">
        <is>
          <t>Vitalité 2</t>
        </is>
      </c>
      <c r="C59" t="n">
        <v>3</v>
      </c>
      <c r="D59" t="inlineStr">
        <is>
          <t>1,1,1</t>
        </is>
      </c>
      <c r="E59" t="inlineStr">
        <is>
          <t>hp_max_flat → [120,240,360]</t>
        </is>
      </c>
      <c r="F59" t="inlineStr">
        <is>
          <t>def_6</t>
        </is>
      </c>
      <c r="G59" t="inlineStr">
        <is>
          <t>1025, -362</t>
        </is>
      </c>
      <c r="H59" t="inlineStr">
        <is>
          <t>❤️</t>
        </is>
      </c>
      <c r="I59" t="inlineStr">
        <is>
          <t>+120 PV max par niveau · max +360 PV max (3 niveaux, 1 pt/niveau).</t>
        </is>
      </c>
    </row>
    <row r="60">
      <c r="A60" s="5" t="inlineStr">
        <is>
          <t>def_8</t>
        </is>
      </c>
      <c r="B60" s="5" t="inlineStr">
        <is>
          <t>Armure 2</t>
        </is>
      </c>
      <c r="C60" s="5" t="n">
        <v>3</v>
      </c>
      <c r="D60" s="5" t="inlineStr">
        <is>
          <t>1,1,1</t>
        </is>
      </c>
      <c r="E60" s="5" t="inlineStr">
        <is>
          <t>def_flat → [6,12,18]</t>
        </is>
      </c>
      <c r="F60" s="5" t="inlineStr">
        <is>
          <t>def_7</t>
        </is>
      </c>
      <c r="G60" s="5" t="inlineStr">
        <is>
          <t>1172, -338</t>
        </is>
      </c>
      <c r="H60" s="5" t="inlineStr">
        <is>
          <t>🛡️</t>
        </is>
      </c>
      <c r="I60" s="5" t="inlineStr">
        <is>
          <t>+6 Défense par niveau · max +18 Défense (3 niveaux, 1 pt/niveau).</t>
        </is>
      </c>
    </row>
    <row r="61">
      <c r="A61" t="inlineStr">
        <is>
          <t>def_9</t>
        </is>
      </c>
      <c r="B61" t="inlineStr">
        <is>
          <t>Vitalité 2</t>
        </is>
      </c>
      <c r="C61" t="n">
        <v>3</v>
      </c>
      <c r="D61" t="inlineStr">
        <is>
          <t>1,1,1</t>
        </is>
      </c>
      <c r="E61" t="inlineStr">
        <is>
          <t>hp_max_flat → [120,240,360]</t>
        </is>
      </c>
      <c r="F61" t="inlineStr">
        <is>
          <t>def_8</t>
        </is>
      </c>
      <c r="G61" t="inlineStr">
        <is>
          <t>1313, -292</t>
        </is>
      </c>
      <c r="H61" t="inlineStr">
        <is>
          <t>❤️</t>
        </is>
      </c>
      <c r="I61" t="inlineStr">
        <is>
          <t>+120 PV max par niveau · max +360 PV max (3 niveaux, 1 pt/niveau).</t>
        </is>
      </c>
    </row>
    <row r="62">
      <c r="A62" s="5" t="inlineStr">
        <is>
          <t>def_10</t>
        </is>
      </c>
      <c r="B62" s="5" t="inlineStr">
        <is>
          <t>Armure 2</t>
        </is>
      </c>
      <c r="C62" s="5" t="n">
        <v>3</v>
      </c>
      <c r="D62" s="5" t="inlineStr">
        <is>
          <t>1,1,1</t>
        </is>
      </c>
      <c r="E62" s="5" t="inlineStr">
        <is>
          <t>def_flat → [6,12,18]</t>
        </is>
      </c>
      <c r="F62" s="5" t="inlineStr">
        <is>
          <t>def_9</t>
        </is>
      </c>
      <c r="G62" s="5" t="inlineStr">
        <is>
          <t>1445, -223</t>
        </is>
      </c>
      <c r="H62" s="5" t="inlineStr">
        <is>
          <t>🛡️</t>
        </is>
      </c>
      <c r="I62" s="5" t="inlineStr">
        <is>
          <t>+6 Défense par niveau · max +18 Défense (3 niveaux, 1 pt/niveau).</t>
        </is>
      </c>
    </row>
    <row r="63">
      <c r="A63" t="inlineStr">
        <is>
          <t>def_11</t>
        </is>
      </c>
      <c r="B63" t="inlineStr">
        <is>
          <t>Vitalité 2</t>
        </is>
      </c>
      <c r="C63" t="n">
        <v>3</v>
      </c>
      <c r="D63" t="inlineStr">
        <is>
          <t>1,1,1</t>
        </is>
      </c>
      <c r="E63" t="inlineStr">
        <is>
          <t>hp_max_flat → [120,240,360]</t>
        </is>
      </c>
      <c r="F63" t="inlineStr">
        <is>
          <t>def_10</t>
        </is>
      </c>
      <c r="G63" t="inlineStr">
        <is>
          <t>1564, -134</t>
        </is>
      </c>
      <c r="H63" t="inlineStr">
        <is>
          <t>❤️</t>
        </is>
      </c>
      <c r="I63" t="inlineStr">
        <is>
          <t>+120 PV max par niveau · max +360 PV max (3 niveaux, 1 pt/niveau).</t>
        </is>
      </c>
    </row>
    <row r="64">
      <c r="A64" s="5" t="inlineStr">
        <is>
          <t>def_12</t>
        </is>
      </c>
      <c r="B64" s="5" t="inlineStr">
        <is>
          <t>Endurance</t>
        </is>
      </c>
      <c r="C64" s="5" t="n">
        <v>1</v>
      </c>
      <c r="D64" s="5" t="inlineStr">
        <is>
          <t>3</t>
        </is>
      </c>
      <c r="E64" s="5" t="inlineStr">
        <is>
          <t>hp_max_percent → [1]</t>
        </is>
      </c>
      <c r="F64" s="5" t="inlineStr">
        <is>
          <t>def_11</t>
        </is>
      </c>
      <c r="G64" s="5" t="inlineStr">
        <is>
          <t>1667, -26</t>
        </is>
      </c>
      <c r="H64" s="5" t="inlineStr">
        <is>
          <t>💗</t>
        </is>
      </c>
      <c r="I64" s="5" t="inlineStr">
        <is>
          <t>Nœud spécial : +1% PV max (1 amélioration, 3 pts).</t>
        </is>
      </c>
    </row>
    <row r="65">
      <c r="A65" t="inlineStr">
        <is>
          <t>def_13</t>
        </is>
      </c>
      <c r="B65" t="inlineStr">
        <is>
          <t>Armure 3</t>
        </is>
      </c>
      <c r="C65" t="n">
        <v>3</v>
      </c>
      <c r="D65" t="inlineStr">
        <is>
          <t>1,1,1</t>
        </is>
      </c>
      <c r="E65" t="inlineStr">
        <is>
          <t>def_flat → [7,14,21]</t>
        </is>
      </c>
      <c r="F65" t="inlineStr">
        <is>
          <t>def_12</t>
        </is>
      </c>
      <c r="G65" t="inlineStr">
        <is>
          <t>1750, 97</t>
        </is>
      </c>
      <c r="H65" t="inlineStr">
        <is>
          <t>🛡️</t>
        </is>
      </c>
      <c r="I65" t="inlineStr">
        <is>
          <t>+7 Défense par niveau · max +21 Défense (3 niveaux, 1 pt/niveau).</t>
        </is>
      </c>
    </row>
    <row r="66">
      <c r="A66" s="5" t="inlineStr">
        <is>
          <t>def_14</t>
        </is>
      </c>
      <c r="B66" s="5" t="inlineStr">
        <is>
          <t>Vitalité 3</t>
        </is>
      </c>
      <c r="C66" s="5" t="n">
        <v>3</v>
      </c>
      <c r="D66" s="5" t="inlineStr">
        <is>
          <t>1,1,1</t>
        </is>
      </c>
      <c r="E66" s="5" t="inlineStr">
        <is>
          <t>hp_max_flat → [140,280,420]</t>
        </is>
      </c>
      <c r="F66" s="5" t="inlineStr">
        <is>
          <t>def_13</t>
        </is>
      </c>
      <c r="G66" s="5" t="inlineStr">
        <is>
          <t>1812, 233</t>
        </is>
      </c>
      <c r="H66" s="5" t="inlineStr">
        <is>
          <t>❤️</t>
        </is>
      </c>
      <c r="I66" s="5" t="inlineStr">
        <is>
          <t>+140 PV max par niveau · max +420 PV max (3 niveaux, 1 pt/niveau).</t>
        </is>
      </c>
    </row>
    <row r="67">
      <c r="A67" t="inlineStr">
        <is>
          <t>def_15</t>
        </is>
      </c>
      <c r="B67" t="inlineStr">
        <is>
          <t>Armure 3</t>
        </is>
      </c>
      <c r="C67" t="n">
        <v>3</v>
      </c>
      <c r="D67" t="inlineStr">
        <is>
          <t>1,1,1</t>
        </is>
      </c>
      <c r="E67" t="inlineStr">
        <is>
          <t>def_flat → [7,14,21]</t>
        </is>
      </c>
      <c r="F67" t="inlineStr">
        <is>
          <t>def_14</t>
        </is>
      </c>
      <c r="G67" t="inlineStr">
        <is>
          <t>1849, 377</t>
        </is>
      </c>
      <c r="H67" t="inlineStr">
        <is>
          <t>🛡️</t>
        </is>
      </c>
      <c r="I67" t="inlineStr">
        <is>
          <t>+7 Défense par niveau · max +21 Défense (3 niveaux, 1 pt/niveau).</t>
        </is>
      </c>
    </row>
    <row r="68">
      <c r="A68" s="5" t="inlineStr">
        <is>
          <t>def_16</t>
        </is>
      </c>
      <c r="B68" s="5" t="inlineStr">
        <is>
          <t>Vitalité 3</t>
        </is>
      </c>
      <c r="C68" s="5" t="n">
        <v>3</v>
      </c>
      <c r="D68" s="5" t="inlineStr">
        <is>
          <t>1,1,1</t>
        </is>
      </c>
      <c r="E68" s="5" t="inlineStr">
        <is>
          <t>hp_max_flat → [140,280,420]</t>
        </is>
      </c>
      <c r="F68" s="5" t="inlineStr">
        <is>
          <t>def_15</t>
        </is>
      </c>
      <c r="G68" s="5" t="inlineStr">
        <is>
          <t>1860, 526</t>
        </is>
      </c>
      <c r="H68" s="5" t="inlineStr">
        <is>
          <t>❤️</t>
        </is>
      </c>
      <c r="I68" s="5" t="inlineStr">
        <is>
          <t>+140 PV max par niveau · max +420 PV max (3 niveaux, 1 pt/niveau).</t>
        </is>
      </c>
    </row>
    <row r="69">
      <c r="A69" t="inlineStr">
        <is>
          <t>def_17</t>
        </is>
      </c>
      <c r="B69" t="inlineStr">
        <is>
          <t>Armure 3</t>
        </is>
      </c>
      <c r="C69" t="n">
        <v>3</v>
      </c>
      <c r="D69" t="inlineStr">
        <is>
          <t>1,1,1</t>
        </is>
      </c>
      <c r="E69" t="inlineStr">
        <is>
          <t>def_flat → [7,14,21]</t>
        </is>
      </c>
      <c r="F69" t="inlineStr">
        <is>
          <t>def_16</t>
        </is>
      </c>
      <c r="G69" t="inlineStr">
        <is>
          <t>1845, 674</t>
        </is>
      </c>
      <c r="H69" t="inlineStr">
        <is>
          <t>🛡️</t>
        </is>
      </c>
      <c r="I69" t="inlineStr">
        <is>
          <t>+7 Défense par niveau · max +21 Défense (3 niveaux, 1 pt/niveau).</t>
        </is>
      </c>
    </row>
    <row r="70">
      <c r="A70" s="5" t="inlineStr">
        <is>
          <t>def_18</t>
        </is>
      </c>
      <c r="B70" s="5" t="inlineStr">
        <is>
          <t>Esquive</t>
        </is>
      </c>
      <c r="C70" s="5" t="n">
        <v>1</v>
      </c>
      <c r="D70" s="5" t="inlineStr">
        <is>
          <t>3</t>
        </is>
      </c>
      <c r="E70" s="5" t="inlineStr">
        <is>
          <t>dodge_flat → [1]</t>
        </is>
      </c>
      <c r="F70" s="5" t="inlineStr">
        <is>
          <t>def_17</t>
        </is>
      </c>
      <c r="G70" s="5" t="inlineStr">
        <is>
          <t>1804, 817</t>
        </is>
      </c>
      <c r="H70" s="5" t="inlineStr">
        <is>
          <t>🌀</t>
        </is>
      </c>
      <c r="I70" s="5" t="inlineStr">
        <is>
          <t>Nœud spécial : +1% d'esquive (1 amélioration, 3 pts).</t>
        </is>
      </c>
    </row>
    <row r="71">
      <c r="A71" t="inlineStr">
        <is>
          <t>def_19</t>
        </is>
      </c>
      <c r="B71" t="inlineStr">
        <is>
          <t>Vitalité 4</t>
        </is>
      </c>
      <c r="C71" t="n">
        <v>3</v>
      </c>
      <c r="D71" t="inlineStr">
        <is>
          <t>1,1,1</t>
        </is>
      </c>
      <c r="E71" t="inlineStr">
        <is>
          <t>hp_max_flat → [160,320,480]</t>
        </is>
      </c>
      <c r="F71" t="inlineStr">
        <is>
          <t>def_18</t>
        </is>
      </c>
      <c r="G71" t="inlineStr">
        <is>
          <t>1737, 950</t>
        </is>
      </c>
      <c r="H71" t="inlineStr">
        <is>
          <t>❤️</t>
        </is>
      </c>
      <c r="I71" t="inlineStr">
        <is>
          <t>+160 PV max par niveau · max +480 PV max (3 niveaux, 1 pt/niveau).</t>
        </is>
      </c>
    </row>
    <row r="72">
      <c r="A72" s="5" t="inlineStr">
        <is>
          <t>def_20</t>
        </is>
      </c>
      <c r="B72" s="5" t="inlineStr">
        <is>
          <t>Armure 4</t>
        </is>
      </c>
      <c r="C72" s="5" t="n">
        <v>3</v>
      </c>
      <c r="D72" s="5" t="inlineStr">
        <is>
          <t>1,1,1</t>
        </is>
      </c>
      <c r="E72" s="5" t="inlineStr">
        <is>
          <t>def_flat → [8,16,24]</t>
        </is>
      </c>
      <c r="F72" s="5" t="inlineStr">
        <is>
          <t>def_19</t>
        </is>
      </c>
      <c r="G72" s="5" t="inlineStr">
        <is>
          <t>1647, 1068</t>
        </is>
      </c>
      <c r="H72" s="5" t="inlineStr">
        <is>
          <t>🛡️</t>
        </is>
      </c>
      <c r="I72" s="5" t="inlineStr">
        <is>
          <t>+8 Défense par niveau · max +24 Défense (3 niveaux, 1 pt/niveau).</t>
        </is>
      </c>
    </row>
    <row r="73">
      <c r="A73" t="inlineStr">
        <is>
          <t>def_21</t>
        </is>
      </c>
      <c r="B73" t="inlineStr">
        <is>
          <t>Vitalité 4</t>
        </is>
      </c>
      <c r="C73" t="n">
        <v>3</v>
      </c>
      <c r="D73" t="inlineStr">
        <is>
          <t>1,1,1</t>
        </is>
      </c>
      <c r="E73" t="inlineStr">
        <is>
          <t>hp_max_flat → [160,320,480]</t>
        </is>
      </c>
      <c r="F73" t="inlineStr">
        <is>
          <t>def_20</t>
        </is>
      </c>
      <c r="G73" t="inlineStr">
        <is>
          <t>1536, 1167</t>
        </is>
      </c>
      <c r="H73" t="inlineStr">
        <is>
          <t>❤️</t>
        </is>
      </c>
      <c r="I73" t="inlineStr">
        <is>
          <t>+160 PV max par niveau · max +480 PV max (3 niveaux, 1 pt/niveau).</t>
        </is>
      </c>
    </row>
    <row r="74">
      <c r="A74" s="5" t="inlineStr">
        <is>
          <t>def_22</t>
        </is>
      </c>
      <c r="B74" s="5" t="inlineStr">
        <is>
          <t>Armure 4</t>
        </is>
      </c>
      <c r="C74" s="5" t="n">
        <v>3</v>
      </c>
      <c r="D74" s="5" t="inlineStr">
        <is>
          <t>1,1,1</t>
        </is>
      </c>
      <c r="E74" s="5" t="inlineStr">
        <is>
          <t>def_flat → [8,16,24]</t>
        </is>
      </c>
      <c r="F74" s="5" t="inlineStr">
        <is>
          <t>def_21</t>
        </is>
      </c>
      <c r="G74" s="5" t="inlineStr">
        <is>
          <t>1407, 1243</t>
        </is>
      </c>
      <c r="H74" s="5" t="inlineStr">
        <is>
          <t>🛡️</t>
        </is>
      </c>
      <c r="I74" s="5" t="inlineStr">
        <is>
          <t>+8 Défense par niveau · max +24 Défense (3 niveaux, 1 pt/niveau).</t>
        </is>
      </c>
    </row>
    <row r="75">
      <c r="A75" t="inlineStr">
        <is>
          <t>def_23</t>
        </is>
      </c>
      <c r="B75" t="inlineStr">
        <is>
          <t>Vitalité 4</t>
        </is>
      </c>
      <c r="C75" t="n">
        <v>3</v>
      </c>
      <c r="D75" t="inlineStr">
        <is>
          <t>1,1,1</t>
        </is>
      </c>
      <c r="E75" t="inlineStr">
        <is>
          <t>hp_max_flat → [160,320,480]</t>
        </is>
      </c>
      <c r="F75" t="inlineStr">
        <is>
          <t>def_22</t>
        </is>
      </c>
      <c r="G75" t="inlineStr">
        <is>
          <t>1267, 1292</t>
        </is>
      </c>
      <c r="H75" t="inlineStr">
        <is>
          <t>❤️</t>
        </is>
      </c>
      <c r="I75" t="inlineStr">
        <is>
          <t>+160 PV max par niveau · max +480 PV max (3 niveaux, 1 pt/niveau).</t>
        </is>
      </c>
    </row>
    <row r="76">
      <c r="A76" s="5" t="inlineStr">
        <is>
          <t>def_24</t>
        </is>
      </c>
      <c r="B76" s="5" t="inlineStr">
        <is>
          <t>Régénération</t>
        </is>
      </c>
      <c r="C76" s="5" t="n">
        <v>1</v>
      </c>
      <c r="D76" s="5" t="inlineStr">
        <is>
          <t>3</t>
        </is>
      </c>
      <c r="E76" s="5" t="inlineStr">
        <is>
          <t>hp_regeneration_flat → [1]</t>
        </is>
      </c>
      <c r="F76" s="5" t="inlineStr">
        <is>
          <t>def_23</t>
        </is>
      </c>
      <c r="G76" s="5" t="inlineStr">
        <is>
          <t>1119, 1312</t>
        </is>
      </c>
      <c r="H76" s="5" t="inlineStr">
        <is>
          <t>💚</t>
        </is>
      </c>
      <c r="I76" s="5" t="inlineStr">
        <is>
          <t>Nœud spécial : +1 Régénération de PV (1 amélioration, 3 pts).</t>
        </is>
      </c>
    </row>
    <row r="77">
      <c r="A77" t="inlineStr">
        <is>
          <t>def_25</t>
        </is>
      </c>
      <c r="B77" t="inlineStr">
        <is>
          <t>Armure 5</t>
        </is>
      </c>
      <c r="C77" t="n">
        <v>3</v>
      </c>
      <c r="D77" t="inlineStr">
        <is>
          <t>1,1,1</t>
        </is>
      </c>
      <c r="E77" t="inlineStr">
        <is>
          <t>def_flat → [9,18,27]</t>
        </is>
      </c>
      <c r="F77" t="inlineStr">
        <is>
          <t>def_24</t>
        </is>
      </c>
      <c r="G77" t="inlineStr">
        <is>
          <t>971, 1301</t>
        </is>
      </c>
      <c r="H77" t="inlineStr">
        <is>
          <t>🛡️</t>
        </is>
      </c>
      <c r="I77" t="inlineStr">
        <is>
          <t>+9 Défense par niveau · max +27 Défense (3 niveaux, 1 pt/niveau).</t>
        </is>
      </c>
    </row>
    <row r="78">
      <c r="A78" s="5" t="inlineStr">
        <is>
          <t>def_26</t>
        </is>
      </c>
      <c r="B78" s="5" t="inlineStr">
        <is>
          <t>Vitalité 5</t>
        </is>
      </c>
      <c r="C78" s="5" t="n">
        <v>3</v>
      </c>
      <c r="D78" s="5" t="inlineStr">
        <is>
          <t>1,1,1</t>
        </is>
      </c>
      <c r="E78" s="5" t="inlineStr">
        <is>
          <t>hp_max_flat → [180,360,540]</t>
        </is>
      </c>
      <c r="F78" s="5" t="inlineStr">
        <is>
          <t>def_25</t>
        </is>
      </c>
      <c r="G78" s="5" t="inlineStr">
        <is>
          <t>828, 1260</t>
        </is>
      </c>
      <c r="H78" s="5" t="inlineStr">
        <is>
          <t>❤️</t>
        </is>
      </c>
      <c r="I78" s="5" t="inlineStr">
        <is>
          <t>+180 PV max par niveau · max +540 PV max (3 niveaux, 1 pt/niveau).</t>
        </is>
      </c>
    </row>
    <row r="79">
      <c r="A79" t="inlineStr">
        <is>
          <t>def_27</t>
        </is>
      </c>
      <c r="B79" t="inlineStr">
        <is>
          <t>Armure 5</t>
        </is>
      </c>
      <c r="C79" t="n">
        <v>3</v>
      </c>
      <c r="D79" t="inlineStr">
        <is>
          <t>1,1,1</t>
        </is>
      </c>
      <c r="E79" t="inlineStr">
        <is>
          <t>def_flat → [9,18,27]</t>
        </is>
      </c>
      <c r="F79" t="inlineStr">
        <is>
          <t>def_26</t>
        </is>
      </c>
      <c r="G79" t="inlineStr">
        <is>
          <t>697, 1189</t>
        </is>
      </c>
      <c r="H79" t="inlineStr">
        <is>
          <t>🛡️</t>
        </is>
      </c>
      <c r="I79" t="inlineStr">
        <is>
          <t>+9 Défense par niveau · max +27 Défense (3 niveaux, 1 pt/niveau).</t>
        </is>
      </c>
    </row>
    <row r="80">
      <c r="A80" s="5" t="inlineStr">
        <is>
          <t>def_28</t>
        </is>
      </c>
      <c r="B80" s="5" t="inlineStr">
        <is>
          <t>Vitalité 5</t>
        </is>
      </c>
      <c r="C80" s="5" t="n">
        <v>3</v>
      </c>
      <c r="D80" s="5" t="inlineStr">
        <is>
          <t>1,1,1</t>
        </is>
      </c>
      <c r="E80" s="5" t="inlineStr">
        <is>
          <t>hp_max_flat → [180,360,540]</t>
        </is>
      </c>
      <c r="F80" s="5" t="inlineStr">
        <is>
          <t>def_27</t>
        </is>
      </c>
      <c r="G80" s="5" t="inlineStr">
        <is>
          <t>585, 1091</t>
        </is>
      </c>
      <c r="H80" s="5" t="inlineStr">
        <is>
          <t>❤️</t>
        </is>
      </c>
      <c r="I80" s="5" t="inlineStr">
        <is>
          <t>+180 PV max par niveau · max +540 PV max (3 niveaux, 1 pt/niveau).</t>
        </is>
      </c>
    </row>
    <row r="81">
      <c r="A81" t="inlineStr">
        <is>
          <t>def_29</t>
        </is>
      </c>
      <c r="B81" t="inlineStr">
        <is>
          <t>Armure 5</t>
        </is>
      </c>
      <c r="C81" t="n">
        <v>3</v>
      </c>
      <c r="D81" t="inlineStr">
        <is>
          <t>1,1,1</t>
        </is>
      </c>
      <c r="E81" t="inlineStr">
        <is>
          <t>def_flat → [9,18,27]</t>
        </is>
      </c>
      <c r="F81" t="inlineStr">
        <is>
          <t>def_28</t>
        </is>
      </c>
      <c r="G81" t="inlineStr">
        <is>
          <t>498, 971</t>
        </is>
      </c>
      <c r="H81" t="inlineStr">
        <is>
          <t>🛡️</t>
        </is>
      </c>
      <c r="I81" t="inlineStr">
        <is>
          <t>+9 Défense par niveau · max +27 Défense (3 niveaux, 1 pt/niveau).</t>
        </is>
      </c>
    </row>
    <row r="82">
      <c r="A82" s="5" t="inlineStr">
        <is>
          <t>def_30</t>
        </is>
      </c>
      <c r="B82" s="5" t="inlineStr">
        <is>
          <t>Peau de pierre</t>
        </is>
      </c>
      <c r="C82" s="5" t="n">
        <v>1</v>
      </c>
      <c r="D82" s="5" t="inlineStr">
        <is>
          <t>3</t>
        </is>
      </c>
      <c r="E82" s="5" t="inlineStr">
        <is>
          <t>def_percent → [1]</t>
        </is>
      </c>
      <c r="F82" s="5" t="inlineStr">
        <is>
          <t>def_29</t>
        </is>
      </c>
      <c r="G82" s="5" t="inlineStr">
        <is>
          <t>440, 834</t>
        </is>
      </c>
      <c r="H82" s="5" t="inlineStr">
        <is>
          <t>🪨</t>
        </is>
      </c>
      <c r="I82" s="5" t="inlineStr">
        <is>
          <t>Nœud spécial : +1% Défense (1 amélioration, 3 pts).</t>
        </is>
      </c>
    </row>
    <row r="83">
      <c r="A83" t="inlineStr">
        <is>
          <t>def_31</t>
        </is>
      </c>
      <c r="B83" t="inlineStr">
        <is>
          <t>Vitalité 6</t>
        </is>
      </c>
      <c r="C83" t="n">
        <v>3</v>
      </c>
      <c r="D83" t="inlineStr">
        <is>
          <t>1,1,1</t>
        </is>
      </c>
      <c r="E83" t="inlineStr">
        <is>
          <t>hp_max_flat → [200,400,600]</t>
        </is>
      </c>
      <c r="F83" t="inlineStr">
        <is>
          <t>def_30</t>
        </is>
      </c>
      <c r="G83" t="inlineStr">
        <is>
          <t>416, 687</t>
        </is>
      </c>
      <c r="H83" t="inlineStr">
        <is>
          <t>❤️</t>
        </is>
      </c>
      <c r="I83" t="inlineStr">
        <is>
          <t>+200 PV max par niveau · max +600 PV max (3 niveaux, 1 pt/niveau).</t>
        </is>
      </c>
    </row>
    <row r="84">
      <c r="A84" s="5" t="inlineStr">
        <is>
          <t>def_32</t>
        </is>
      </c>
      <c r="B84" s="5" t="inlineStr">
        <is>
          <t>Armure 6</t>
        </is>
      </c>
      <c r="C84" s="5" t="n">
        <v>3</v>
      </c>
      <c r="D84" s="5" t="inlineStr">
        <is>
          <t>1,1,1</t>
        </is>
      </c>
      <c r="E84" s="5" t="inlineStr">
        <is>
          <t>def_flat → [10,20,30]</t>
        </is>
      </c>
      <c r="F84" s="5" t="inlineStr">
        <is>
          <t>def_31</t>
        </is>
      </c>
      <c r="G84" s="5" t="inlineStr">
        <is>
          <t>429, 539</t>
        </is>
      </c>
      <c r="H84" s="5" t="inlineStr">
        <is>
          <t>🛡️</t>
        </is>
      </c>
      <c r="I84" s="5" t="inlineStr">
        <is>
          <t>+10 Défense par niveau · max +30 Défense (3 niveaux, 1 pt/niveau).</t>
        </is>
      </c>
    </row>
    <row r="85">
      <c r="A85" t="inlineStr">
        <is>
          <t>def_33</t>
        </is>
      </c>
      <c r="B85" t="inlineStr">
        <is>
          <t>Vitalité 6</t>
        </is>
      </c>
      <c r="C85" t="n">
        <v>3</v>
      </c>
      <c r="D85" t="inlineStr">
        <is>
          <t>1,1,1</t>
        </is>
      </c>
      <c r="E85" t="inlineStr">
        <is>
          <t>hp_max_flat → [200,400,600]</t>
        </is>
      </c>
      <c r="F85" t="inlineStr">
        <is>
          <t>def_32</t>
        </is>
      </c>
      <c r="G85" t="inlineStr">
        <is>
          <t>478, 399</t>
        </is>
      </c>
      <c r="H85" t="inlineStr">
        <is>
          <t>❤️</t>
        </is>
      </c>
      <c r="I85" t="inlineStr">
        <is>
          <t>+200 PV max par niveau · max +600 PV max (3 niveaux, 1 pt/niveau).</t>
        </is>
      </c>
    </row>
    <row r="86">
      <c r="A86" s="5" t="inlineStr">
        <is>
          <t>def_34</t>
        </is>
      </c>
      <c r="B86" s="5" t="inlineStr">
        <is>
          <t>Armure 6</t>
        </is>
      </c>
      <c r="C86" s="5" t="n">
        <v>3</v>
      </c>
      <c r="D86" s="5" t="inlineStr">
        <is>
          <t>1,1,1</t>
        </is>
      </c>
      <c r="E86" s="5" t="inlineStr">
        <is>
          <t>def_flat → [10,20,30]</t>
        </is>
      </c>
      <c r="F86" s="5" t="inlineStr">
        <is>
          <t>def_33</t>
        </is>
      </c>
      <c r="G86" s="5" t="inlineStr">
        <is>
          <t>562, 276</t>
        </is>
      </c>
      <c r="H86" s="5" t="inlineStr">
        <is>
          <t>🛡️</t>
        </is>
      </c>
      <c r="I86" s="5" t="inlineStr">
        <is>
          <t>+10 Défense par niveau · max +30 Défense (3 niveaux, 1 pt/niveau).</t>
        </is>
      </c>
    </row>
    <row r="87">
      <c r="A87" t="inlineStr">
        <is>
          <t>def_35</t>
        </is>
      </c>
      <c r="B87" t="inlineStr">
        <is>
          <t>Vitalité 6</t>
        </is>
      </c>
      <c r="C87" t="n">
        <v>3</v>
      </c>
      <c r="D87" t="inlineStr">
        <is>
          <t>1,1,1</t>
        </is>
      </c>
      <c r="E87" t="inlineStr">
        <is>
          <t>hp_max_flat → [200,400,600]</t>
        </is>
      </c>
      <c r="F87" t="inlineStr">
        <is>
          <t>def_34</t>
        </is>
      </c>
      <c r="G87" t="inlineStr">
        <is>
          <t>675, 180</t>
        </is>
      </c>
      <c r="H87" t="inlineStr">
        <is>
          <t>❤️</t>
        </is>
      </c>
      <c r="I87" t="inlineStr">
        <is>
          <t>+200 PV max par niveau · max +600 PV max (3 niveaux, 1 pt/niveau).</t>
        </is>
      </c>
    </row>
    <row r="88">
      <c r="A88" s="5" t="inlineStr">
        <is>
          <t>def_36</t>
        </is>
      </c>
      <c r="B88" s="5" t="inlineStr">
        <is>
          <t>Endurance</t>
        </is>
      </c>
      <c r="C88" s="5" t="n">
        <v>1</v>
      </c>
      <c r="D88" s="5" t="inlineStr">
        <is>
          <t>3</t>
        </is>
      </c>
      <c r="E88" s="5" t="inlineStr">
        <is>
          <t>hp_max_percent → [1]</t>
        </is>
      </c>
      <c r="F88" s="5" t="inlineStr">
        <is>
          <t>def_35</t>
        </is>
      </c>
      <c r="G88" s="5" t="inlineStr">
        <is>
          <t>811, 119</t>
        </is>
      </c>
      <c r="H88" s="5" t="inlineStr">
        <is>
          <t>💗</t>
        </is>
      </c>
      <c r="I88" s="5" t="inlineStr">
        <is>
          <t>Nœud spécial : +1% PV max (1 amélioration, 3 pts).</t>
        </is>
      </c>
    </row>
    <row r="89">
      <c r="A89" t="inlineStr">
        <is>
          <t>def_37</t>
        </is>
      </c>
      <c r="B89" t="inlineStr">
        <is>
          <t>Armure 7</t>
        </is>
      </c>
      <c r="C89" t="n">
        <v>3</v>
      </c>
      <c r="D89" t="inlineStr">
        <is>
          <t>1,1,1</t>
        </is>
      </c>
      <c r="E89" t="inlineStr">
        <is>
          <t>def_flat → [11,22,33]</t>
        </is>
      </c>
      <c r="F89" t="inlineStr">
        <is>
          <t>def_36</t>
        </is>
      </c>
      <c r="G89" t="inlineStr">
        <is>
          <t>958, 100</t>
        </is>
      </c>
      <c r="H89" t="inlineStr">
        <is>
          <t>🛡️</t>
        </is>
      </c>
      <c r="I89" t="inlineStr">
        <is>
          <t>+11 Défense par niveau · max +33 Défense (3 niveaux, 1 pt/niveau).</t>
        </is>
      </c>
    </row>
    <row r="90">
      <c r="A90" s="5" t="inlineStr">
        <is>
          <t>def_38</t>
        </is>
      </c>
      <c r="B90" s="5" t="inlineStr">
        <is>
          <t>Vitalité 7</t>
        </is>
      </c>
      <c r="C90" s="5" t="n">
        <v>3</v>
      </c>
      <c r="D90" s="5" t="inlineStr">
        <is>
          <t>1,1,1</t>
        </is>
      </c>
      <c r="E90" s="5" t="inlineStr">
        <is>
          <t>hp_max_flat → [220,440,660]</t>
        </is>
      </c>
      <c r="F90" s="5" t="inlineStr">
        <is>
          <t>def_37</t>
        </is>
      </c>
      <c r="G90" s="5" t="inlineStr">
        <is>
          <t>1104, 126</t>
        </is>
      </c>
      <c r="H90" s="5" t="inlineStr">
        <is>
          <t>❤️</t>
        </is>
      </c>
      <c r="I90" s="5" t="inlineStr">
        <is>
          <t>+220 PV max par niveau · max +660 PV max (3 niveaux, 1 pt/niveau).</t>
        </is>
      </c>
    </row>
    <row r="91">
      <c r="A91" t="inlineStr">
        <is>
          <t>def_39</t>
        </is>
      </c>
      <c r="B91" t="inlineStr">
        <is>
          <t>Armure 7</t>
        </is>
      </c>
      <c r="C91" t="n">
        <v>3</v>
      </c>
      <c r="D91" t="inlineStr">
        <is>
          <t>1,1,1</t>
        </is>
      </c>
      <c r="E91" t="inlineStr">
        <is>
          <t>def_flat → [11,22,33]</t>
        </is>
      </c>
      <c r="F91" t="inlineStr">
        <is>
          <t>def_38</t>
        </is>
      </c>
      <c r="G91" t="inlineStr">
        <is>
          <t>1235, 196</t>
        </is>
      </c>
      <c r="H91" t="inlineStr">
        <is>
          <t>🛡️</t>
        </is>
      </c>
      <c r="I91" t="inlineStr">
        <is>
          <t>+11 Défense par niveau · max +33 Défense (3 niveaux, 1 pt/niveau).</t>
        </is>
      </c>
    </row>
    <row r="92">
      <c r="A92" s="5" t="inlineStr">
        <is>
          <t>def_40</t>
        </is>
      </c>
      <c r="B92" s="5" t="inlineStr">
        <is>
          <t>Vitalité 7</t>
        </is>
      </c>
      <c r="C92" s="5" t="n">
        <v>3</v>
      </c>
      <c r="D92" s="5" t="inlineStr">
        <is>
          <t>1,1,1</t>
        </is>
      </c>
      <c r="E92" s="5" t="inlineStr">
        <is>
          <t>hp_max_flat → [220,440,660]</t>
        </is>
      </c>
      <c r="F92" s="5" t="inlineStr">
        <is>
          <t>def_39</t>
        </is>
      </c>
      <c r="G92" s="5" t="inlineStr">
        <is>
          <t>1335, 306</t>
        </is>
      </c>
      <c r="H92" s="5" t="inlineStr">
        <is>
          <t>❤️</t>
        </is>
      </c>
      <c r="I92" s="5" t="inlineStr">
        <is>
          <t>+220 PV max par niveau · max +660 PV max (3 niveaux, 1 pt/niveau).</t>
        </is>
      </c>
    </row>
    <row r="93">
      <c r="A93" t="inlineStr">
        <is>
          <t>def_41</t>
        </is>
      </c>
      <c r="B93" t="inlineStr">
        <is>
          <t>Armure 7</t>
        </is>
      </c>
      <c r="C93" t="n">
        <v>3</v>
      </c>
      <c r="D93" t="inlineStr">
        <is>
          <t>1,1,1</t>
        </is>
      </c>
      <c r="E93" t="inlineStr">
        <is>
          <t>def_flat → [11,22,33]</t>
        </is>
      </c>
      <c r="F93" t="inlineStr">
        <is>
          <t>def_40</t>
        </is>
      </c>
      <c r="G93" t="inlineStr">
        <is>
          <t>1390, 444</t>
        </is>
      </c>
      <c r="H93" t="inlineStr">
        <is>
          <t>🛡️</t>
        </is>
      </c>
      <c r="I93" t="inlineStr">
        <is>
          <t>+11 Défense par niveau · max +33 Défense (3 niveaux, 1 pt/niveau).</t>
        </is>
      </c>
    </row>
    <row r="94">
      <c r="A94" s="5" t="inlineStr">
        <is>
          <t>def_42</t>
        </is>
      </c>
      <c r="B94" s="5" t="inlineStr">
        <is>
          <t>Esquive</t>
        </is>
      </c>
      <c r="C94" s="5" t="n">
        <v>1</v>
      </c>
      <c r="D94" s="5" t="inlineStr">
        <is>
          <t>3</t>
        </is>
      </c>
      <c r="E94" s="5" t="inlineStr">
        <is>
          <t>dodge_flat → [1]</t>
        </is>
      </c>
      <c r="F94" s="5" t="inlineStr">
        <is>
          <t>def_41</t>
        </is>
      </c>
      <c r="G94" s="5" t="inlineStr">
        <is>
          <t>1389, 592</t>
        </is>
      </c>
      <c r="H94" s="5" t="inlineStr">
        <is>
          <t>🌀</t>
        </is>
      </c>
      <c r="I94" s="5" t="inlineStr">
        <is>
          <t>Nœud spécial : +1% d'esquive (1 amélioration, 3 pts).</t>
        </is>
      </c>
    </row>
    <row r="95">
      <c r="A95" t="inlineStr">
        <is>
          <t>def_43</t>
        </is>
      </c>
      <c r="B95" t="inlineStr">
        <is>
          <t>Vitalité 8</t>
        </is>
      </c>
      <c r="C95" t="n">
        <v>3</v>
      </c>
      <c r="D95" t="inlineStr">
        <is>
          <t>1,1,1</t>
        </is>
      </c>
      <c r="E95" t="inlineStr">
        <is>
          <t>hp_max_flat → [240,480,720]</t>
        </is>
      </c>
      <c r="F95" t="inlineStr">
        <is>
          <t>def_42</t>
        </is>
      </c>
      <c r="G95" t="inlineStr">
        <is>
          <t>1329, 727</t>
        </is>
      </c>
      <c r="H95" t="inlineStr">
        <is>
          <t>❤️</t>
        </is>
      </c>
      <c r="I95" t="inlineStr">
        <is>
          <t>+240 PV max par niveau · max +720 PV max (3 niveaux, 1 pt/niveau).</t>
        </is>
      </c>
    </row>
    <row r="96">
      <c r="A96" s="5" t="inlineStr">
        <is>
          <t>def_44</t>
        </is>
      </c>
      <c r="B96" s="5" t="inlineStr">
        <is>
          <t>Armure 8</t>
        </is>
      </c>
      <c r="C96" s="5" t="n">
        <v>3</v>
      </c>
      <c r="D96" s="5" t="inlineStr">
        <is>
          <t>1,1,1</t>
        </is>
      </c>
      <c r="E96" s="5" t="inlineStr">
        <is>
          <t>def_flat → [12,24,36]</t>
        </is>
      </c>
      <c r="F96" s="5" t="inlineStr">
        <is>
          <t>def_43</t>
        </is>
      </c>
      <c r="G96" s="5" t="inlineStr">
        <is>
          <t>1216, 822</t>
        </is>
      </c>
      <c r="H96" s="5" t="inlineStr">
        <is>
          <t>🛡️</t>
        </is>
      </c>
      <c r="I96" s="5" t="inlineStr">
        <is>
          <t>+12 Défense par niveau · max +36 Défense (3 niveaux, 1 pt/niveau).</t>
        </is>
      </c>
    </row>
    <row r="97">
      <c r="A97" t="inlineStr">
        <is>
          <t>def_45</t>
        </is>
      </c>
      <c r="B97" t="inlineStr">
        <is>
          <t>Vitalité 8</t>
        </is>
      </c>
      <c r="C97" t="n">
        <v>3</v>
      </c>
      <c r="D97" t="inlineStr">
        <is>
          <t>1,1,1</t>
        </is>
      </c>
      <c r="E97" t="inlineStr">
        <is>
          <t>hp_max_flat → [240,480,720]</t>
        </is>
      </c>
      <c r="F97" t="inlineStr">
        <is>
          <t>def_44</t>
        </is>
      </c>
      <c r="G97" t="inlineStr">
        <is>
          <t>1072, 850</t>
        </is>
      </c>
      <c r="H97" t="inlineStr">
        <is>
          <t>❤️</t>
        </is>
      </c>
      <c r="I97" t="inlineStr">
        <is>
          <t>+240 PV max par niveau · max +720 PV max (3 niveaux, 1 pt/niveau).</t>
        </is>
      </c>
    </row>
    <row r="98">
      <c r="A98" s="5" t="inlineStr">
        <is>
          <t>def_46</t>
        </is>
      </c>
      <c r="B98" s="5" t="inlineStr">
        <is>
          <t>Armure 8</t>
        </is>
      </c>
      <c r="C98" s="5" t="n">
        <v>3</v>
      </c>
      <c r="D98" s="5" t="inlineStr">
        <is>
          <t>1,1,1</t>
        </is>
      </c>
      <c r="E98" s="5" t="inlineStr">
        <is>
          <t>def_flat → [12,24,36]</t>
        </is>
      </c>
      <c r="F98" s="5" t="inlineStr">
        <is>
          <t>def_45</t>
        </is>
      </c>
      <c r="G98" s="5" t="inlineStr">
        <is>
          <t>937, 794</t>
        </is>
      </c>
      <c r="H98" s="5" t="inlineStr">
        <is>
          <t>🛡️</t>
        </is>
      </c>
      <c r="I98" s="5" t="inlineStr">
        <is>
          <t>+12 Défense par niveau · max +36 Défense (3 niveaux, 1 pt/niveau).</t>
        </is>
      </c>
    </row>
    <row r="99">
      <c r="A99" t="inlineStr">
        <is>
          <t>def_47</t>
        </is>
      </c>
      <c r="B99" t="inlineStr">
        <is>
          <t>Vitalité 8</t>
        </is>
      </c>
      <c r="C99" t="n">
        <v>3</v>
      </c>
      <c r="D99" t="inlineStr">
        <is>
          <t>1,1,1</t>
        </is>
      </c>
      <c r="E99" t="inlineStr">
        <is>
          <t>hp_max_flat → [240,480,720]</t>
        </is>
      </c>
      <c r="F99" t="inlineStr">
        <is>
          <t>def_46</t>
        </is>
      </c>
      <c r="G99" t="inlineStr">
        <is>
          <t>871, 665</t>
        </is>
      </c>
      <c r="H99" t="inlineStr">
        <is>
          <t>❤️</t>
        </is>
      </c>
      <c r="I99" t="inlineStr">
        <is>
          <t>+240 PV max par niveau · max +720 PV max (3 niveaux, 1 pt/niveau).</t>
        </is>
      </c>
    </row>
    <row r="100">
      <c r="A100" s="5" t="inlineStr">
        <is>
          <t>def_48</t>
        </is>
      </c>
      <c r="B100" s="5" t="inlineStr">
        <is>
          <t>Régénération</t>
        </is>
      </c>
      <c r="C100" s="5" t="n">
        <v>1</v>
      </c>
      <c r="D100" s="5" t="inlineStr">
        <is>
          <t>3</t>
        </is>
      </c>
      <c r="E100" s="5" t="inlineStr">
        <is>
          <t>hp_regeneration_flat → [1]</t>
        </is>
      </c>
      <c r="F100" s="5" t="inlineStr">
        <is>
          <t>def_47</t>
        </is>
      </c>
      <c r="G100" s="5" t="inlineStr">
        <is>
          <t>940, 542</t>
        </is>
      </c>
      <c r="H100" s="5" t="inlineStr">
        <is>
          <t>💚</t>
        </is>
      </c>
      <c r="I100" s="5" t="inlineStr">
        <is>
          <t>Nœud spécial : +1 Régénération de PV (1 amélioration, 3 pts).</t>
        </is>
      </c>
    </row>
    <row r="101">
      <c r="A101" t="inlineStr">
        <is>
          <t>voie_uti</t>
        </is>
      </c>
      <c r="B101" t="inlineStr">
        <is>
          <t>Voie Utilitaire</t>
        </is>
      </c>
      <c r="C101" t="n">
        <v>1</v>
      </c>
      <c r="D101" t="inlineStr">
        <is>
          <t>1</t>
        </is>
      </c>
      <c r="E101" t="inlineStr">
        <is>
          <t>—</t>
        </is>
      </c>
      <c r="F101" t="inlineStr">
        <is>
          <t>aventurier</t>
        </is>
      </c>
      <c r="G101" t="inlineStr">
        <is>
          <t>-130, 75</t>
        </is>
      </c>
      <c r="H101" t="inlineStr">
        <is>
          <t>🎒</t>
        </is>
      </c>
      <c r="I101" t="inlineStr">
        <is>
          <t>Entrée de la voie utilitaire.</t>
        </is>
      </c>
    </row>
    <row r="102">
      <c r="A102" s="5" t="inlineStr">
        <is>
          <t>uti_1</t>
        </is>
      </c>
      <c r="B102" s="5" t="inlineStr">
        <is>
          <t>Sagesse 1</t>
        </is>
      </c>
      <c r="C102" s="5" t="n">
        <v>3</v>
      </c>
      <c r="D102" s="5" t="inlineStr">
        <is>
          <t>1,1,1</t>
        </is>
      </c>
      <c r="E102" s="5" t="inlineStr">
        <is>
          <t>xp_drop_percent → [1,2,3]</t>
        </is>
      </c>
      <c r="F102" s="5" t="inlineStr">
        <is>
          <t>voie_uti</t>
        </is>
      </c>
      <c r="G102" s="5" t="inlineStr">
        <is>
          <t>-75, 213</t>
        </is>
      </c>
      <c r="H102" s="5" t="inlineStr">
        <is>
          <t>✨</t>
        </is>
      </c>
      <c r="I102" s="5" t="inlineStr">
        <is>
          <t>+1% d'XP gagnée par niveau · max +3% d'XP gagnée (3 niveaux, 1 pt/niveau).</t>
        </is>
      </c>
    </row>
    <row r="103">
      <c r="A103" t="inlineStr">
        <is>
          <t>uti_2</t>
        </is>
      </c>
      <c r="B103" t="inlineStr">
        <is>
          <t>Chance 1</t>
        </is>
      </c>
      <c r="C103" t="n">
        <v>3</v>
      </c>
      <c r="D103" t="inlineStr">
        <is>
          <t>1,1,1</t>
        </is>
      </c>
      <c r="E103" t="inlineStr">
        <is>
          <t>drop_rate_multiplier → [1,2,3]</t>
        </is>
      </c>
      <c r="F103" t="inlineStr">
        <is>
          <t>uti_1</t>
        </is>
      </c>
      <c r="G103" t="inlineStr">
        <is>
          <t>-41, 358</t>
        </is>
      </c>
      <c r="H103" t="inlineStr">
        <is>
          <t>🎁</t>
        </is>
      </c>
      <c r="I103" t="inlineStr">
        <is>
          <t>+1% de chance de butin par niveau · max +3% de chance de butin (3 niveaux, 1 pt/niveau).</t>
        </is>
      </c>
    </row>
    <row r="104">
      <c r="A104" s="5" t="inlineStr">
        <is>
          <t>uti_3</t>
        </is>
      </c>
      <c r="B104" s="5" t="inlineStr">
        <is>
          <t>Réserve d'énergie 1</t>
        </is>
      </c>
      <c r="C104" s="5" t="n">
        <v>3</v>
      </c>
      <c r="D104" s="5" t="inlineStr">
        <is>
          <t>1,1,1</t>
        </is>
      </c>
      <c r="E104" s="5" t="inlineStr">
        <is>
          <t>mana_max_flat → [20,40,60]</t>
        </is>
      </c>
      <c r="F104" s="5" t="inlineStr">
        <is>
          <t>uti_2</t>
        </is>
      </c>
      <c r="G104" s="5" t="inlineStr">
        <is>
          <t>-28, 507</t>
        </is>
      </c>
      <c r="H104" s="5" t="inlineStr">
        <is>
          <t>🔷</t>
        </is>
      </c>
      <c r="I104" s="5" t="inlineStr">
        <is>
          <t>+20 Mana max par niveau · max +60 Mana max (3 niveaux, 1 pt/niveau).</t>
        </is>
      </c>
    </row>
    <row r="105">
      <c r="A105" t="inlineStr">
        <is>
          <t>uti_4</t>
        </is>
      </c>
      <c r="B105" t="inlineStr">
        <is>
          <t>Bourse 1</t>
        </is>
      </c>
      <c r="C105" t="n">
        <v>3</v>
      </c>
      <c r="D105" t="inlineStr">
        <is>
          <t>1,1,1</t>
        </is>
      </c>
      <c r="E105" t="inlineStr">
        <is>
          <t>gold_drop_percent → [1,2,3]</t>
        </is>
      </c>
      <c r="F105" t="inlineStr">
        <is>
          <t>uti_3</t>
        </is>
      </c>
      <c r="G105" t="inlineStr">
        <is>
          <t>-38, 655</t>
        </is>
      </c>
      <c r="H105" t="inlineStr">
        <is>
          <t>💰</t>
        </is>
      </c>
      <c r="I105" t="inlineStr">
        <is>
          <t>+1% d'or gagné par niveau · max +3% d'or gagné (3 niveaux, 1 pt/niveau).</t>
        </is>
      </c>
    </row>
    <row r="106">
      <c r="A106" s="5" t="inlineStr">
        <is>
          <t>uti_5</t>
        </is>
      </c>
      <c r="B106" s="5" t="inlineStr">
        <is>
          <t>Sagesse 1</t>
        </is>
      </c>
      <c r="C106" s="5" t="n">
        <v>3</v>
      </c>
      <c r="D106" s="5" t="inlineStr">
        <is>
          <t>1,1,1</t>
        </is>
      </c>
      <c r="E106" s="5" t="inlineStr">
        <is>
          <t>xp_drop_percent → [1,2,3]</t>
        </is>
      </c>
      <c r="F106" s="5" t="inlineStr">
        <is>
          <t>uti_4</t>
        </is>
      </c>
      <c r="G106" s="5" t="inlineStr">
        <is>
          <t>-70, 801</t>
        </is>
      </c>
      <c r="H106" s="5" t="inlineStr">
        <is>
          <t>✨</t>
        </is>
      </c>
      <c r="I106" s="5" t="inlineStr">
        <is>
          <t>+1% d'XP gagnée par niveau · max +3% d'XP gagnée (3 niveaux, 1 pt/niveau).</t>
        </is>
      </c>
    </row>
    <row r="107">
      <c r="A107" t="inlineStr">
        <is>
          <t>uti_6</t>
        </is>
      </c>
      <c r="B107" t="inlineStr">
        <is>
          <t>Fortune</t>
        </is>
      </c>
      <c r="C107" t="n">
        <v>1</v>
      </c>
      <c r="D107" t="inlineStr">
        <is>
          <t>3</t>
        </is>
      </c>
      <c r="E107" t="inlineStr">
        <is>
          <t>gold_drop_percent → [2]</t>
        </is>
      </c>
      <c r="F107" t="inlineStr">
        <is>
          <t>uti_5</t>
        </is>
      </c>
      <c r="G107" t="inlineStr">
        <is>
          <t>-124, 939</t>
        </is>
      </c>
      <c r="H107" t="inlineStr">
        <is>
          <t>💰</t>
        </is>
      </c>
      <c r="I107" t="inlineStr">
        <is>
          <t>Nœud spécial : +2% d'or gagné (1 amélioration, 3 pts).</t>
        </is>
      </c>
    </row>
    <row r="108">
      <c r="A108" s="5" t="inlineStr">
        <is>
          <t>uti_7</t>
        </is>
      </c>
      <c r="B108" s="5" t="inlineStr">
        <is>
          <t>Chance 2</t>
        </is>
      </c>
      <c r="C108" s="5" t="n">
        <v>3</v>
      </c>
      <c r="D108" s="5" t="inlineStr">
        <is>
          <t>1,1,1</t>
        </is>
      </c>
      <c r="E108" s="5" t="inlineStr">
        <is>
          <t>drop_rate_multiplier → [1,2,3]</t>
        </is>
      </c>
      <c r="F108" s="5" t="inlineStr">
        <is>
          <t>uti_6</t>
        </is>
      </c>
      <c r="G108" s="5" t="inlineStr">
        <is>
          <t>-199, 1068</t>
        </is>
      </c>
      <c r="H108" s="5" t="inlineStr">
        <is>
          <t>🎁</t>
        </is>
      </c>
      <c r="I108" s="5" t="inlineStr">
        <is>
          <t>+1% de chance de butin par niveau · max +3% de chance de butin (3 niveaux, 1 pt/niveau).</t>
        </is>
      </c>
    </row>
    <row r="109">
      <c r="A109" t="inlineStr">
        <is>
          <t>uti_8</t>
        </is>
      </c>
      <c r="B109" t="inlineStr">
        <is>
          <t>Réserve d'énergie 2</t>
        </is>
      </c>
      <c r="C109" t="n">
        <v>3</v>
      </c>
      <c r="D109" t="inlineStr">
        <is>
          <t>1,1,1</t>
        </is>
      </c>
      <c r="E109" t="inlineStr">
        <is>
          <t>mana_max_flat → [25,50,75]</t>
        </is>
      </c>
      <c r="F109" t="inlineStr">
        <is>
          <t>uti_7</t>
        </is>
      </c>
      <c r="G109" t="inlineStr">
        <is>
          <t>-293, 1184</t>
        </is>
      </c>
      <c r="H109" t="inlineStr">
        <is>
          <t>🔷</t>
        </is>
      </c>
      <c r="I109" t="inlineStr">
        <is>
          <t>+25 Mana max par niveau · max +75 Mana max (3 niveaux, 1 pt/niveau).</t>
        </is>
      </c>
    </row>
    <row r="110">
      <c r="A110" s="5" t="inlineStr">
        <is>
          <t>uti_9</t>
        </is>
      </c>
      <c r="B110" s="5" t="inlineStr">
        <is>
          <t>Bourse 2</t>
        </is>
      </c>
      <c r="C110" s="5" t="n">
        <v>3</v>
      </c>
      <c r="D110" s="5" t="inlineStr">
        <is>
          <t>1,1,1</t>
        </is>
      </c>
      <c r="E110" s="5" t="inlineStr">
        <is>
          <t>gold_drop_percent → [1,2,3]</t>
        </is>
      </c>
      <c r="F110" s="5" t="inlineStr">
        <is>
          <t>uti_8</t>
        </is>
      </c>
      <c r="G110" s="5" t="inlineStr">
        <is>
          <t>-404, 1283</t>
        </is>
      </c>
      <c r="H110" s="5" t="inlineStr">
        <is>
          <t>💰</t>
        </is>
      </c>
      <c r="I110" s="5" t="inlineStr">
        <is>
          <t>+1% d'or gagné par niveau · max +3% d'or gagné (3 niveaux, 1 pt/niveau).</t>
        </is>
      </c>
    </row>
    <row r="111">
      <c r="A111" t="inlineStr">
        <is>
          <t>uti_10</t>
        </is>
      </c>
      <c r="B111" t="inlineStr">
        <is>
          <t>Sagesse 2</t>
        </is>
      </c>
      <c r="C111" t="n">
        <v>3</v>
      </c>
      <c r="D111" t="inlineStr">
        <is>
          <t>1,1,1</t>
        </is>
      </c>
      <c r="E111" t="inlineStr">
        <is>
          <t>xp_drop_percent → [1,2,3]</t>
        </is>
      </c>
      <c r="F111" t="inlineStr">
        <is>
          <t>uti_9</t>
        </is>
      </c>
      <c r="G111" t="inlineStr">
        <is>
          <t>-530, 1363</t>
        </is>
      </c>
      <c r="H111" t="inlineStr">
        <is>
          <t>✨</t>
        </is>
      </c>
      <c r="I111" t="inlineStr">
        <is>
          <t>+1% d'XP gagnée par niveau · max +3% d'XP gagnée (3 niveaux, 1 pt/niveau).</t>
        </is>
      </c>
    </row>
    <row r="112">
      <c r="A112" s="5" t="inlineStr">
        <is>
          <t>uti_11</t>
        </is>
      </c>
      <c r="B112" s="5" t="inlineStr">
        <is>
          <t>Chance 2</t>
        </is>
      </c>
      <c r="C112" s="5" t="n">
        <v>3</v>
      </c>
      <c r="D112" s="5" t="inlineStr">
        <is>
          <t>1,1,1</t>
        </is>
      </c>
      <c r="E112" s="5" t="inlineStr">
        <is>
          <t>drop_rate_multiplier → [1,2,3]</t>
        </is>
      </c>
      <c r="F112" s="5" t="inlineStr">
        <is>
          <t>uti_10</t>
        </is>
      </c>
      <c r="G112" s="5" t="inlineStr">
        <is>
          <t>-666, 1421</t>
        </is>
      </c>
      <c r="H112" s="5" t="inlineStr">
        <is>
          <t>🎁</t>
        </is>
      </c>
      <c r="I112" s="5" t="inlineStr">
        <is>
          <t>+1% de chance de butin par niveau · max +3% de chance de butin (3 niveaux, 1 pt/niveau).</t>
        </is>
      </c>
    </row>
    <row r="113">
      <c r="A113" t="inlineStr">
        <is>
          <t>uti_12</t>
        </is>
      </c>
      <c r="B113" t="inlineStr">
        <is>
          <t>Érudition</t>
        </is>
      </c>
      <c r="C113" t="n">
        <v>1</v>
      </c>
      <c r="D113" t="inlineStr">
        <is>
          <t>3</t>
        </is>
      </c>
      <c r="E113" t="inlineStr">
        <is>
          <t>xp_drop_percent → [2]</t>
        </is>
      </c>
      <c r="F113" t="inlineStr">
        <is>
          <t>uti_11</t>
        </is>
      </c>
      <c r="G113" t="inlineStr">
        <is>
          <t>-811, 1457</t>
        </is>
      </c>
      <c r="H113" t="inlineStr">
        <is>
          <t>✨</t>
        </is>
      </c>
      <c r="I113" t="inlineStr">
        <is>
          <t>Nœud spécial : +2% d'XP gagnée (1 amélioration, 3 pts).</t>
        </is>
      </c>
    </row>
    <row r="114">
      <c r="A114" s="5" t="inlineStr">
        <is>
          <t>uti_13</t>
        </is>
      </c>
      <c r="B114" s="5" t="inlineStr">
        <is>
          <t>Réserve d'énergie 3</t>
        </is>
      </c>
      <c r="C114" s="5" t="n">
        <v>3</v>
      </c>
      <c r="D114" s="5" t="inlineStr">
        <is>
          <t>1,1,1</t>
        </is>
      </c>
      <c r="E114" s="5" t="inlineStr">
        <is>
          <t>mana_max_flat → [30,60,90]</t>
        </is>
      </c>
      <c r="F114" s="5" t="inlineStr">
        <is>
          <t>uti_12</t>
        </is>
      </c>
      <c r="G114" s="5" t="inlineStr">
        <is>
          <t>-960, 1467</t>
        </is>
      </c>
      <c r="H114" s="5" t="inlineStr">
        <is>
          <t>🔷</t>
        </is>
      </c>
      <c r="I114" s="5" t="inlineStr">
        <is>
          <t>+30 Mana max par niveau · max +90 Mana max (3 niveaux, 1 pt/niveau).</t>
        </is>
      </c>
    </row>
    <row r="115">
      <c r="A115" t="inlineStr">
        <is>
          <t>uti_14</t>
        </is>
      </c>
      <c r="B115" t="inlineStr">
        <is>
          <t>Bourse 3</t>
        </is>
      </c>
      <c r="C115" t="n">
        <v>3</v>
      </c>
      <c r="D115" t="inlineStr">
        <is>
          <t>1,1,1</t>
        </is>
      </c>
      <c r="E115" t="inlineStr">
        <is>
          <t>gold_drop_percent → [1,2,3]</t>
        </is>
      </c>
      <c r="F115" t="inlineStr">
        <is>
          <t>uti_13</t>
        </is>
      </c>
      <c r="G115" t="inlineStr">
        <is>
          <t>-1108, 1453</t>
        </is>
      </c>
      <c r="H115" t="inlineStr">
        <is>
          <t>💰</t>
        </is>
      </c>
      <c r="I115" t="inlineStr">
        <is>
          <t>+1% d'or gagné par niveau · max +3% d'or gagné (3 niveaux, 1 pt/niveau).</t>
        </is>
      </c>
    </row>
    <row r="116">
      <c r="A116" s="5" t="inlineStr">
        <is>
          <t>uti_15</t>
        </is>
      </c>
      <c r="B116" s="5" t="inlineStr">
        <is>
          <t>Sagesse 3</t>
        </is>
      </c>
      <c r="C116" s="5" t="n">
        <v>3</v>
      </c>
      <c r="D116" s="5" t="inlineStr">
        <is>
          <t>1,1,1</t>
        </is>
      </c>
      <c r="E116" s="5" t="inlineStr">
        <is>
          <t>xp_drop_percent → [1,2,3]</t>
        </is>
      </c>
      <c r="F116" s="5" t="inlineStr">
        <is>
          <t>uti_14</t>
        </is>
      </c>
      <c r="G116" s="5" t="inlineStr">
        <is>
          <t>-1251, 1413</t>
        </is>
      </c>
      <c r="H116" s="5" t="inlineStr">
        <is>
          <t>✨</t>
        </is>
      </c>
      <c r="I116" s="5" t="inlineStr">
        <is>
          <t>+1% d'XP gagnée par niveau · max +3% d'XP gagnée (3 niveaux, 1 pt/niveau).</t>
        </is>
      </c>
    </row>
    <row r="117">
      <c r="A117" t="inlineStr">
        <is>
          <t>uti_16</t>
        </is>
      </c>
      <c r="B117" t="inlineStr">
        <is>
          <t>Chance 3</t>
        </is>
      </c>
      <c r="C117" t="n">
        <v>3</v>
      </c>
      <c r="D117" t="inlineStr">
        <is>
          <t>1,1,1</t>
        </is>
      </c>
      <c r="E117" t="inlineStr">
        <is>
          <t>drop_rate_multiplier → [1,2,3]</t>
        </is>
      </c>
      <c r="F117" t="inlineStr">
        <is>
          <t>uti_15</t>
        </is>
      </c>
      <c r="G117" t="inlineStr">
        <is>
          <t>-1385, 1348</t>
        </is>
      </c>
      <c r="H117" t="inlineStr">
        <is>
          <t>🎁</t>
        </is>
      </c>
      <c r="I117" t="inlineStr">
        <is>
          <t>+1% de chance de butin par niveau · max +3% de chance de butin (3 niveaux, 1 pt/niveau).</t>
        </is>
      </c>
    </row>
    <row r="118">
      <c r="A118" s="5" t="inlineStr">
        <is>
          <t>uti_17</t>
        </is>
      </c>
      <c r="B118" s="5" t="inlineStr">
        <is>
          <t>Réserve d'énergie 3</t>
        </is>
      </c>
      <c r="C118" s="5" t="n">
        <v>3</v>
      </c>
      <c r="D118" s="5" t="inlineStr">
        <is>
          <t>1,1,1</t>
        </is>
      </c>
      <c r="E118" s="5" t="inlineStr">
        <is>
          <t>mana_max_flat → [30,60,90]</t>
        </is>
      </c>
      <c r="F118" s="5" t="inlineStr">
        <is>
          <t>uti_16</t>
        </is>
      </c>
      <c r="G118" s="5" t="inlineStr">
        <is>
          <t>-1506, 1261</t>
        </is>
      </c>
      <c r="H118" s="5" t="inlineStr">
        <is>
          <t>🔷</t>
        </is>
      </c>
      <c r="I118" s="5" t="inlineStr">
        <is>
          <t>+30 Mana max par niveau · max +90 Mana max (3 niveaux, 1 pt/niveau).</t>
        </is>
      </c>
    </row>
    <row r="119">
      <c r="A119" t="inlineStr">
        <is>
          <t>uti_18</t>
        </is>
      </c>
      <c r="B119" t="inlineStr">
        <is>
          <t>Pillage</t>
        </is>
      </c>
      <c r="C119" t="n">
        <v>1</v>
      </c>
      <c r="D119" t="inlineStr">
        <is>
          <t>3</t>
        </is>
      </c>
      <c r="E119" t="inlineStr">
        <is>
          <t>drop_rate_multiplier → [2]</t>
        </is>
      </c>
      <c r="F119" t="inlineStr">
        <is>
          <t>uti_17</t>
        </is>
      </c>
      <c r="G119" t="inlineStr">
        <is>
          <t>-1609, 1154</t>
        </is>
      </c>
      <c r="H119" t="inlineStr">
        <is>
          <t>🎁</t>
        </is>
      </c>
      <c r="I119" t="inlineStr">
        <is>
          <t>Nœud spécial : +2% de chance de butin (1 amélioration, 3 pts).</t>
        </is>
      </c>
    </row>
    <row r="120">
      <c r="A120" s="5" t="inlineStr">
        <is>
          <t>uti_19</t>
        </is>
      </c>
      <c r="B120" s="5" t="inlineStr">
        <is>
          <t>Bourse 4</t>
        </is>
      </c>
      <c r="C120" s="5" t="n">
        <v>3</v>
      </c>
      <c r="D120" s="5" t="inlineStr">
        <is>
          <t>1,1,1</t>
        </is>
      </c>
      <c r="E120" s="5" t="inlineStr">
        <is>
          <t>gold_drop_percent → [1,2,3]</t>
        </is>
      </c>
      <c r="F120" s="5" t="inlineStr">
        <is>
          <t>uti_18</t>
        </is>
      </c>
      <c r="G120" s="5" t="inlineStr">
        <is>
          <t>-1691, 1029</t>
        </is>
      </c>
      <c r="H120" s="5" t="inlineStr">
        <is>
          <t>💰</t>
        </is>
      </c>
      <c r="I120" s="5" t="inlineStr">
        <is>
          <t>+1% d'or gagné par niveau · max +3% d'or gagné (3 niveaux, 1 pt/niveau).</t>
        </is>
      </c>
    </row>
    <row r="121">
      <c r="A121" t="inlineStr">
        <is>
          <t>uti_20</t>
        </is>
      </c>
      <c r="B121" t="inlineStr">
        <is>
          <t>Sagesse 4</t>
        </is>
      </c>
      <c r="C121" t="n">
        <v>3</v>
      </c>
      <c r="D121" t="inlineStr">
        <is>
          <t>1,1,1</t>
        </is>
      </c>
      <c r="E121" t="inlineStr">
        <is>
          <t>xp_drop_percent → [1,2,3]</t>
        </is>
      </c>
      <c r="F121" t="inlineStr">
        <is>
          <t>uti_19</t>
        </is>
      </c>
      <c r="G121" t="inlineStr">
        <is>
          <t>-1748, 892</t>
        </is>
      </c>
      <c r="H121" t="inlineStr">
        <is>
          <t>✨</t>
        </is>
      </c>
      <c r="I121" t="inlineStr">
        <is>
          <t>+1% d'XP gagnée par niveau · max +3% d'XP gagnée (3 niveaux, 1 pt/niveau).</t>
        </is>
      </c>
    </row>
    <row r="122">
      <c r="A122" s="5" t="inlineStr">
        <is>
          <t>uti_21</t>
        </is>
      </c>
      <c r="B122" s="5" t="inlineStr">
        <is>
          <t>Chance 4</t>
        </is>
      </c>
      <c r="C122" s="5" t="n">
        <v>3</v>
      </c>
      <c r="D122" s="5" t="inlineStr">
        <is>
          <t>1,1,1</t>
        </is>
      </c>
      <c r="E122" s="5" t="inlineStr">
        <is>
          <t>drop_rate_multiplier → [1,2,3]</t>
        </is>
      </c>
      <c r="F122" s="5" t="inlineStr">
        <is>
          <t>uti_20</t>
        </is>
      </c>
      <c r="G122" s="5" t="inlineStr">
        <is>
          <t>-1778, 746</t>
        </is>
      </c>
      <c r="H122" s="5" t="inlineStr">
        <is>
          <t>🎁</t>
        </is>
      </c>
      <c r="I122" s="5" t="inlineStr">
        <is>
          <t>+1% de chance de butin par niveau · max +3% de chance de butin (3 niveaux, 1 pt/niveau).</t>
        </is>
      </c>
    </row>
    <row r="123">
      <c r="A123" t="inlineStr">
        <is>
          <t>uti_22</t>
        </is>
      </c>
      <c r="B123" t="inlineStr">
        <is>
          <t>Réserve d'énergie 4</t>
        </is>
      </c>
      <c r="C123" t="n">
        <v>3</v>
      </c>
      <c r="D123" t="inlineStr">
        <is>
          <t>1,1,1</t>
        </is>
      </c>
      <c r="E123" t="inlineStr">
        <is>
          <t>mana_max_flat → [35,70,105]</t>
        </is>
      </c>
      <c r="F123" t="inlineStr">
        <is>
          <t>uti_21</t>
        </is>
      </c>
      <c r="G123" t="inlineStr">
        <is>
          <t>-1780, 597</t>
        </is>
      </c>
      <c r="H123" t="inlineStr">
        <is>
          <t>🔷</t>
        </is>
      </c>
      <c r="I123" t="inlineStr">
        <is>
          <t>+35 Mana max par niveau · max +105 Mana max (3 niveaux, 1 pt/niveau).</t>
        </is>
      </c>
    </row>
    <row r="124">
      <c r="A124" s="5" t="inlineStr">
        <is>
          <t>uti_23</t>
        </is>
      </c>
      <c r="B124" s="5" t="inlineStr">
        <is>
          <t>Bourse 4</t>
        </is>
      </c>
      <c r="C124" s="5" t="n">
        <v>3</v>
      </c>
      <c r="D124" s="5" t="inlineStr">
        <is>
          <t>1,1,1</t>
        </is>
      </c>
      <c r="E124" s="5" t="inlineStr">
        <is>
          <t>gold_drop_percent → [1,2,3]</t>
        </is>
      </c>
      <c r="F124" s="5" t="inlineStr">
        <is>
          <t>uti_22</t>
        </is>
      </c>
      <c r="G124" s="5" t="inlineStr">
        <is>
          <t>-1752, 451</t>
        </is>
      </c>
      <c r="H124" s="5" t="inlineStr">
        <is>
          <t>💰</t>
        </is>
      </c>
      <c r="I124" s="5" t="inlineStr">
        <is>
          <t>+1% d'or gagné par niveau · max +3% d'or gagné (3 niveaux, 1 pt/niveau).</t>
        </is>
      </c>
    </row>
    <row r="125">
      <c r="A125" t="inlineStr">
        <is>
          <t>uti_24</t>
        </is>
      </c>
      <c r="B125" t="inlineStr">
        <is>
          <t>Flux de mana</t>
        </is>
      </c>
      <c r="C125" t="n">
        <v>1</v>
      </c>
      <c r="D125" t="inlineStr">
        <is>
          <t>3</t>
        </is>
      </c>
      <c r="E125" t="inlineStr">
        <is>
          <t>mana_regeneration_flat → [1]</t>
        </is>
      </c>
      <c r="F125" t="inlineStr">
        <is>
          <t>uti_23</t>
        </is>
      </c>
      <c r="G125" t="inlineStr">
        <is>
          <t>-1696, 314</t>
        </is>
      </c>
      <c r="H125" t="inlineStr">
        <is>
          <t>🌊</t>
        </is>
      </c>
      <c r="I125" t="inlineStr">
        <is>
          <t>Nœud spécial : +1 Régénération de mana (1 amélioration, 3 pts).</t>
        </is>
      </c>
    </row>
    <row r="126">
      <c r="A126" s="5" t="inlineStr">
        <is>
          <t>uti_25</t>
        </is>
      </c>
      <c r="B126" s="5" t="inlineStr">
        <is>
          <t>Sagesse 5</t>
        </is>
      </c>
      <c r="C126" s="5" t="n">
        <v>3</v>
      </c>
      <c r="D126" s="5" t="inlineStr">
        <is>
          <t>1,1,1</t>
        </is>
      </c>
      <c r="E126" s="5" t="inlineStr">
        <is>
          <t>xp_drop_percent → [1,2,3]</t>
        </is>
      </c>
      <c r="F126" s="5" t="inlineStr">
        <is>
          <t>uti_24</t>
        </is>
      </c>
      <c r="G126" s="5" t="inlineStr">
        <is>
          <t>-1612, 190</t>
        </is>
      </c>
      <c r="H126" s="5" t="inlineStr">
        <is>
          <t>✨</t>
        </is>
      </c>
      <c r="I126" s="5" t="inlineStr">
        <is>
          <t>+1% d'XP gagnée par niveau · max +3% d'XP gagnée (3 niveaux, 1 pt/niveau).</t>
        </is>
      </c>
    </row>
    <row r="127">
      <c r="A127" t="inlineStr">
        <is>
          <t>uti_26</t>
        </is>
      </c>
      <c r="B127" t="inlineStr">
        <is>
          <t>Chance 5</t>
        </is>
      </c>
      <c r="C127" t="n">
        <v>3</v>
      </c>
      <c r="D127" t="inlineStr">
        <is>
          <t>1,1,1</t>
        </is>
      </c>
      <c r="E127" t="inlineStr">
        <is>
          <t>drop_rate_multiplier → [1,2,3]</t>
        </is>
      </c>
      <c r="F127" t="inlineStr">
        <is>
          <t>uti_25</t>
        </is>
      </c>
      <c r="G127" t="inlineStr">
        <is>
          <t>-1505, 87</t>
        </is>
      </c>
      <c r="H127" t="inlineStr">
        <is>
          <t>🎁</t>
        </is>
      </c>
      <c r="I127" t="inlineStr">
        <is>
          <t>+1% de chance de butin par niveau · max +3% de chance de butin (3 niveaux, 1 pt/niveau).</t>
        </is>
      </c>
    </row>
    <row r="128">
      <c r="A128" s="5" t="inlineStr">
        <is>
          <t>uti_27</t>
        </is>
      </c>
      <c r="B128" s="5" t="inlineStr">
        <is>
          <t>Réserve d'énergie 5</t>
        </is>
      </c>
      <c r="C128" s="5" t="n">
        <v>3</v>
      </c>
      <c r="D128" s="5" t="inlineStr">
        <is>
          <t>1,1,1</t>
        </is>
      </c>
      <c r="E128" s="5" t="inlineStr">
        <is>
          <t>mana_max_flat → [40,80,120]</t>
        </is>
      </c>
      <c r="F128" s="5" t="inlineStr">
        <is>
          <t>uti_26</t>
        </is>
      </c>
      <c r="G128" s="5" t="inlineStr">
        <is>
          <t>-1378, 9</t>
        </is>
      </c>
      <c r="H128" s="5" t="inlineStr">
        <is>
          <t>🔷</t>
        </is>
      </c>
      <c r="I128" s="5" t="inlineStr">
        <is>
          <t>+40 Mana max par niveau · max +120 Mana max (3 niveaux, 1 pt/niveau).</t>
        </is>
      </c>
    </row>
    <row r="129">
      <c r="A129" t="inlineStr">
        <is>
          <t>uti_28</t>
        </is>
      </c>
      <c r="B129" t="inlineStr">
        <is>
          <t>Bourse 5</t>
        </is>
      </c>
      <c r="C129" t="n">
        <v>3</v>
      </c>
      <c r="D129" t="inlineStr">
        <is>
          <t>1,1,1</t>
        </is>
      </c>
      <c r="E129" t="inlineStr">
        <is>
          <t>gold_drop_percent → [1,2,3]</t>
        </is>
      </c>
      <c r="F129" t="inlineStr">
        <is>
          <t>uti_27</t>
        </is>
      </c>
      <c r="G129" t="inlineStr">
        <is>
          <t>-1238, -39</t>
        </is>
      </c>
      <c r="H129" t="inlineStr">
        <is>
          <t>💰</t>
        </is>
      </c>
      <c r="I129" t="inlineStr">
        <is>
          <t>+1% d'or gagné par niveau · max +3% d'or gagné (3 niveaux, 1 pt/niveau).</t>
        </is>
      </c>
    </row>
    <row r="130">
      <c r="A130" s="5" t="inlineStr">
        <is>
          <t>uti_29</t>
        </is>
      </c>
      <c r="B130" s="5" t="inlineStr">
        <is>
          <t>Sagesse 5</t>
        </is>
      </c>
      <c r="C130" s="5" t="n">
        <v>3</v>
      </c>
      <c r="D130" s="5" t="inlineStr">
        <is>
          <t>1,1,1</t>
        </is>
      </c>
      <c r="E130" s="5" t="inlineStr">
        <is>
          <t>xp_drop_percent → [1,2,3]</t>
        </is>
      </c>
      <c r="F130" s="5" t="inlineStr">
        <is>
          <t>uti_28</t>
        </is>
      </c>
      <c r="G130" s="5" t="inlineStr">
        <is>
          <t>-1090, -55</t>
        </is>
      </c>
      <c r="H130" s="5" t="inlineStr">
        <is>
          <t>✨</t>
        </is>
      </c>
      <c r="I130" s="5" t="inlineStr">
        <is>
          <t>+1% d'XP gagnée par niveau · max +3% d'XP gagnée (3 niveaux, 1 pt/niveau).</t>
        </is>
      </c>
    </row>
    <row r="131">
      <c r="A131" t="inlineStr">
        <is>
          <t>uti_30</t>
        </is>
      </c>
      <c r="B131" t="inlineStr">
        <is>
          <t>Fortune</t>
        </is>
      </c>
      <c r="C131" t="n">
        <v>1</v>
      </c>
      <c r="D131" t="inlineStr">
        <is>
          <t>3</t>
        </is>
      </c>
      <c r="E131" t="inlineStr">
        <is>
          <t>gold_drop_percent → [2]</t>
        </is>
      </c>
      <c r="F131" t="inlineStr">
        <is>
          <t>uti_29</t>
        </is>
      </c>
      <c r="G131" t="inlineStr">
        <is>
          <t>-942, -36</t>
        </is>
      </c>
      <c r="H131" t="inlineStr">
        <is>
          <t>💰</t>
        </is>
      </c>
      <c r="I131" t="inlineStr">
        <is>
          <t>Nœud spécial : +2% d'or gagné (1 amélioration, 3 pts).</t>
        </is>
      </c>
    </row>
    <row r="132">
      <c r="A132" s="5" t="inlineStr">
        <is>
          <t>uti_31</t>
        </is>
      </c>
      <c r="B132" s="5" t="inlineStr">
        <is>
          <t>Chance 6</t>
        </is>
      </c>
      <c r="C132" s="5" t="n">
        <v>3</v>
      </c>
      <c r="D132" s="5" t="inlineStr">
        <is>
          <t>1,1,1</t>
        </is>
      </c>
      <c r="E132" s="5" t="inlineStr">
        <is>
          <t>drop_rate_multiplier → [1,2,3]</t>
        </is>
      </c>
      <c r="F132" s="5" t="inlineStr">
        <is>
          <t>uti_30</t>
        </is>
      </c>
      <c r="G132" s="5" t="inlineStr">
        <is>
          <t>-803, 17</t>
        </is>
      </c>
      <c r="H132" s="5" t="inlineStr">
        <is>
          <t>🎁</t>
        </is>
      </c>
      <c r="I132" s="5" t="inlineStr">
        <is>
          <t>+1% de chance de butin par niveau · max +3% de chance de butin (3 niveaux, 1 pt/niveau).</t>
        </is>
      </c>
    </row>
    <row r="133">
      <c r="A133" t="inlineStr">
        <is>
          <t>uti_32</t>
        </is>
      </c>
      <c r="B133" t="inlineStr">
        <is>
          <t>Réserve d'énergie 6</t>
        </is>
      </c>
      <c r="C133" t="n">
        <v>3</v>
      </c>
      <c r="D133" t="inlineStr">
        <is>
          <t>1,1,1</t>
        </is>
      </c>
      <c r="E133" t="inlineStr">
        <is>
          <t>mana_max_flat → [45,90,135]</t>
        </is>
      </c>
      <c r="F133" t="inlineStr">
        <is>
          <t>uti_31</t>
        </is>
      </c>
      <c r="G133" t="inlineStr">
        <is>
          <t>-681, 102</t>
        </is>
      </c>
      <c r="H133" t="inlineStr">
        <is>
          <t>🔷</t>
        </is>
      </c>
      <c r="I133" t="inlineStr">
        <is>
          <t>+45 Mana max par niveau · max +135 Mana max (3 niveaux, 1 pt/niveau).</t>
        </is>
      </c>
    </row>
    <row r="134">
      <c r="A134" s="5" t="inlineStr">
        <is>
          <t>uti_33</t>
        </is>
      </c>
      <c r="B134" s="5" t="inlineStr">
        <is>
          <t>Bourse 6</t>
        </is>
      </c>
      <c r="C134" s="5" t="n">
        <v>3</v>
      </c>
      <c r="D134" s="5" t="inlineStr">
        <is>
          <t>1,1,1</t>
        </is>
      </c>
      <c r="E134" s="5" t="inlineStr">
        <is>
          <t>gold_drop_percent → [1,2,3]</t>
        </is>
      </c>
      <c r="F134" s="5" t="inlineStr">
        <is>
          <t>uti_32</t>
        </is>
      </c>
      <c r="G134" s="5" t="inlineStr">
        <is>
          <t>-585, 215</t>
        </is>
      </c>
      <c r="H134" s="5" t="inlineStr">
        <is>
          <t>💰</t>
        </is>
      </c>
      <c r="I134" s="5" t="inlineStr">
        <is>
          <t>+1% d'or gagné par niveau · max +3% d'or gagné (3 niveaux, 1 pt/niveau).</t>
        </is>
      </c>
    </row>
    <row r="135">
      <c r="A135" t="inlineStr">
        <is>
          <t>uti_34</t>
        </is>
      </c>
      <c r="B135" t="inlineStr">
        <is>
          <t>Sagesse 6</t>
        </is>
      </c>
      <c r="C135" t="n">
        <v>3</v>
      </c>
      <c r="D135" t="inlineStr">
        <is>
          <t>1,1,1</t>
        </is>
      </c>
      <c r="E135" t="inlineStr">
        <is>
          <t>xp_drop_percent → [1,2,3]</t>
        </is>
      </c>
      <c r="F135" t="inlineStr">
        <is>
          <t>uti_33</t>
        </is>
      </c>
      <c r="G135" t="inlineStr">
        <is>
          <t>-520, 349</t>
        </is>
      </c>
      <c r="H135" t="inlineStr">
        <is>
          <t>✨</t>
        </is>
      </c>
      <c r="I135" t="inlineStr">
        <is>
          <t>+1% d'XP gagnée par niveau · max +3% d'XP gagnée (3 niveaux, 1 pt/niveau).</t>
        </is>
      </c>
    </row>
    <row r="136">
      <c r="A136" s="5" t="inlineStr">
        <is>
          <t>uti_35</t>
        </is>
      </c>
      <c r="B136" s="5" t="inlineStr">
        <is>
          <t>Chance 6</t>
        </is>
      </c>
      <c r="C136" s="5" t="n">
        <v>3</v>
      </c>
      <c r="D136" s="5" t="inlineStr">
        <is>
          <t>1,1,1</t>
        </is>
      </c>
      <c r="E136" s="5" t="inlineStr">
        <is>
          <t>drop_rate_multiplier → [1,2,3]</t>
        </is>
      </c>
      <c r="F136" s="5" t="inlineStr">
        <is>
          <t>uti_34</t>
        </is>
      </c>
      <c r="G136" s="5" t="inlineStr">
        <is>
          <t>-494, 495</t>
        </is>
      </c>
      <c r="H136" s="5" t="inlineStr">
        <is>
          <t>🎁</t>
        </is>
      </c>
      <c r="I136" s="5" t="inlineStr">
        <is>
          <t>+1% de chance de butin par niveau · max +3% de chance de butin (3 niveaux, 1 pt/niveau).</t>
        </is>
      </c>
    </row>
    <row r="137">
      <c r="A137" t="inlineStr">
        <is>
          <t>uti_36</t>
        </is>
      </c>
      <c r="B137" t="inlineStr">
        <is>
          <t>Érudition</t>
        </is>
      </c>
      <c r="C137" t="n">
        <v>1</v>
      </c>
      <c r="D137" t="inlineStr">
        <is>
          <t>3</t>
        </is>
      </c>
      <c r="E137" t="inlineStr">
        <is>
          <t>xp_drop_percent → [2]</t>
        </is>
      </c>
      <c r="F137" t="inlineStr">
        <is>
          <t>uti_35</t>
        </is>
      </c>
      <c r="G137" t="inlineStr">
        <is>
          <t>-509, 643</t>
        </is>
      </c>
      <c r="H137" t="inlineStr">
        <is>
          <t>✨</t>
        </is>
      </c>
      <c r="I137" t="inlineStr">
        <is>
          <t>Nœud spécial : +2% d'XP gagnée (1 amélioration, 3 pts).</t>
        </is>
      </c>
    </row>
    <row r="138">
      <c r="A138" s="5" t="inlineStr">
        <is>
          <t>uti_37</t>
        </is>
      </c>
      <c r="B138" s="5" t="inlineStr">
        <is>
          <t>Réserve d'énergie 7</t>
        </is>
      </c>
      <c r="C138" s="5" t="n">
        <v>3</v>
      </c>
      <c r="D138" s="5" t="inlineStr">
        <is>
          <t>1,1,1</t>
        </is>
      </c>
      <c r="E138" s="5" t="inlineStr">
        <is>
          <t>mana_max_flat → [50,100,150]</t>
        </is>
      </c>
      <c r="F138" s="5" t="inlineStr">
        <is>
          <t>uti_36</t>
        </is>
      </c>
      <c r="G138" s="5" t="inlineStr">
        <is>
          <t>-566, 780</t>
        </is>
      </c>
      <c r="H138" s="5" t="inlineStr">
        <is>
          <t>🔷</t>
        </is>
      </c>
      <c r="I138" s="5" t="inlineStr">
        <is>
          <t>+50 Mana max par niveau · max +150 Mana max (3 niveaux, 1 pt/niveau).</t>
        </is>
      </c>
    </row>
    <row r="139">
      <c r="A139" t="inlineStr">
        <is>
          <t>uti_38</t>
        </is>
      </c>
      <c r="B139" t="inlineStr">
        <is>
          <t>Bourse 7</t>
        </is>
      </c>
      <c r="C139" t="n">
        <v>3</v>
      </c>
      <c r="D139" t="inlineStr">
        <is>
          <t>1,1,1</t>
        </is>
      </c>
      <c r="E139" t="inlineStr">
        <is>
          <t>gold_drop_percent → [1,2,3]</t>
        </is>
      </c>
      <c r="F139" t="inlineStr">
        <is>
          <t>uti_37</t>
        </is>
      </c>
      <c r="G139" t="inlineStr">
        <is>
          <t>-661, 893</t>
        </is>
      </c>
      <c r="H139" t="inlineStr">
        <is>
          <t>💰</t>
        </is>
      </c>
      <c r="I139" t="inlineStr">
        <is>
          <t>+1% d'or gagné par niveau · max +3% d'or gagné (3 niveaux, 1 pt/niveau).</t>
        </is>
      </c>
    </row>
    <row r="140">
      <c r="A140" s="5" t="inlineStr">
        <is>
          <t>uti_39</t>
        </is>
      </c>
      <c r="B140" s="5" t="inlineStr">
        <is>
          <t>Sagesse 7</t>
        </is>
      </c>
      <c r="C140" s="5" t="n">
        <v>3</v>
      </c>
      <c r="D140" s="5" t="inlineStr">
        <is>
          <t>1,1,1</t>
        </is>
      </c>
      <c r="E140" s="5" t="inlineStr">
        <is>
          <t>xp_drop_percent → [1,2,3]</t>
        </is>
      </c>
      <c r="F140" s="5" t="inlineStr">
        <is>
          <t>uti_38</t>
        </is>
      </c>
      <c r="G140" s="5" t="inlineStr">
        <is>
          <t>-787, 971</t>
        </is>
      </c>
      <c r="H140" s="5" t="inlineStr">
        <is>
          <t>✨</t>
        </is>
      </c>
      <c r="I140" s="5" t="inlineStr">
        <is>
          <t>+1% d'XP gagnée par niveau · max +3% d'XP gagnée (3 niveaux, 1 pt/niveau).</t>
        </is>
      </c>
    </row>
    <row r="141">
      <c r="A141" t="inlineStr">
        <is>
          <t>uti_40</t>
        </is>
      </c>
      <c r="B141" t="inlineStr">
        <is>
          <t>Chance 7</t>
        </is>
      </c>
      <c r="C141" t="n">
        <v>3</v>
      </c>
      <c r="D141" t="inlineStr">
        <is>
          <t>1,1,1</t>
        </is>
      </c>
      <c r="E141" t="inlineStr">
        <is>
          <t>drop_rate_multiplier → [1,2,3]</t>
        </is>
      </c>
      <c r="F141" t="inlineStr">
        <is>
          <t>uti_39</t>
        </is>
      </c>
      <c r="G141" t="inlineStr">
        <is>
          <t>-932, 1003</t>
        </is>
      </c>
      <c r="H141" t="inlineStr">
        <is>
          <t>🎁</t>
        </is>
      </c>
      <c r="I141" t="inlineStr">
        <is>
          <t>+1% de chance de butin par niveau · max +3% de chance de butin (3 niveaux, 1 pt/niveau).</t>
        </is>
      </c>
    </row>
    <row r="142">
      <c r="A142" s="5" t="inlineStr">
        <is>
          <t>uti_41</t>
        </is>
      </c>
      <c r="B142" s="5" t="inlineStr">
        <is>
          <t>Réserve d'énergie 7</t>
        </is>
      </c>
      <c r="C142" s="5" t="n">
        <v>3</v>
      </c>
      <c r="D142" s="5" t="inlineStr">
        <is>
          <t>1,1,1</t>
        </is>
      </c>
      <c r="E142" s="5" t="inlineStr">
        <is>
          <t>mana_max_flat → [50,100,150]</t>
        </is>
      </c>
      <c r="F142" s="5" t="inlineStr">
        <is>
          <t>uti_40</t>
        </is>
      </c>
      <c r="G142" s="5" t="inlineStr">
        <is>
          <t>-1079, 982</t>
        </is>
      </c>
      <c r="H142" s="5" t="inlineStr">
        <is>
          <t>🔷</t>
        </is>
      </c>
      <c r="I142" s="5" t="inlineStr">
        <is>
          <t>+50 Mana max par niveau · max +150 Mana max (3 niveaux, 1 pt/niveau).</t>
        </is>
      </c>
    </row>
    <row r="143">
      <c r="A143" t="inlineStr">
        <is>
          <t>uti_42</t>
        </is>
      </c>
      <c r="B143" t="inlineStr">
        <is>
          <t>Pillage</t>
        </is>
      </c>
      <c r="C143" t="n">
        <v>1</v>
      </c>
      <c r="D143" t="inlineStr">
        <is>
          <t>3</t>
        </is>
      </c>
      <c r="E143" t="inlineStr">
        <is>
          <t>drop_rate_multiplier → [2]</t>
        </is>
      </c>
      <c r="F143" t="inlineStr">
        <is>
          <t>uti_41</t>
        </is>
      </c>
      <c r="G143" t="inlineStr">
        <is>
          <t>-1207, 907</t>
        </is>
      </c>
      <c r="H143" t="inlineStr">
        <is>
          <t>🎁</t>
        </is>
      </c>
      <c r="I143" t="inlineStr">
        <is>
          <t>Nœud spécial : +2% de chance de butin (1 amélioration, 3 pts).</t>
        </is>
      </c>
    </row>
    <row r="144">
      <c r="A144" s="5" t="inlineStr">
        <is>
          <t>uti_43</t>
        </is>
      </c>
      <c r="B144" s="5" t="inlineStr">
        <is>
          <t>Bourse 8</t>
        </is>
      </c>
      <c r="C144" s="5" t="n">
        <v>3</v>
      </c>
      <c r="D144" s="5" t="inlineStr">
        <is>
          <t>1,1,1</t>
        </is>
      </c>
      <c r="E144" s="5" t="inlineStr">
        <is>
          <t>gold_drop_percent → [1,2,3]</t>
        </is>
      </c>
      <c r="F144" s="5" t="inlineStr">
        <is>
          <t>uti_42</t>
        </is>
      </c>
      <c r="G144" s="5" t="inlineStr">
        <is>
          <t>-1294, 788</t>
        </is>
      </c>
      <c r="H144" s="5" t="inlineStr">
        <is>
          <t>💰</t>
        </is>
      </c>
      <c r="I144" s="5" t="inlineStr">
        <is>
          <t>+1% d'or gagné par niveau · max +3% d'or gagné (3 niveaux, 1 pt/niveau).</t>
        </is>
      </c>
    </row>
    <row r="145">
      <c r="A145" t="inlineStr">
        <is>
          <t>uti_44</t>
        </is>
      </c>
      <c r="B145" t="inlineStr">
        <is>
          <t>Sagesse 8</t>
        </is>
      </c>
      <c r="C145" t="n">
        <v>3</v>
      </c>
      <c r="D145" t="inlineStr">
        <is>
          <t>1,1,1</t>
        </is>
      </c>
      <c r="E145" t="inlineStr">
        <is>
          <t>xp_drop_percent → [1,2,3]</t>
        </is>
      </c>
      <c r="F145" t="inlineStr">
        <is>
          <t>uti_43</t>
        </is>
      </c>
      <c r="G145" t="inlineStr">
        <is>
          <t>-1320, 643</t>
        </is>
      </c>
      <c r="H145" t="inlineStr">
        <is>
          <t>✨</t>
        </is>
      </c>
      <c r="I145" t="inlineStr">
        <is>
          <t>+1% d'XP gagnée par niveau · max +3% d'XP gagnée (3 niveaux, 1 pt/niveau).</t>
        </is>
      </c>
    </row>
    <row r="146">
      <c r="A146" s="5" t="inlineStr">
        <is>
          <t>uti_45</t>
        </is>
      </c>
      <c r="B146" s="5" t="inlineStr">
        <is>
          <t>Chance 8</t>
        </is>
      </c>
      <c r="C146" s="5" t="n">
        <v>3</v>
      </c>
      <c r="D146" s="5" t="inlineStr">
        <is>
          <t>1,1,1</t>
        </is>
      </c>
      <c r="E146" s="5" t="inlineStr">
        <is>
          <t>drop_rate_multiplier → [1,2,3]</t>
        </is>
      </c>
      <c r="F146" s="5" t="inlineStr">
        <is>
          <t>uti_44</t>
        </is>
      </c>
      <c r="G146" s="5" t="inlineStr">
        <is>
          <t>-1272, 503</t>
        </is>
      </c>
      <c r="H146" s="5" t="inlineStr">
        <is>
          <t>🎁</t>
        </is>
      </c>
      <c r="I146" s="5" t="inlineStr">
        <is>
          <t>+1% de chance de butin par niveau · max +3% de chance de butin (3 niveaux, 1 pt/niveau).</t>
        </is>
      </c>
    </row>
    <row r="147">
      <c r="A147" t="inlineStr">
        <is>
          <t>uti_46</t>
        </is>
      </c>
      <c r="B147" t="inlineStr">
        <is>
          <t>Réserve d'énergie 8</t>
        </is>
      </c>
      <c r="C147" t="n">
        <v>3</v>
      </c>
      <c r="D147" t="inlineStr">
        <is>
          <t>1,1,1</t>
        </is>
      </c>
      <c r="E147" t="inlineStr">
        <is>
          <t>mana_max_flat → [55,110,165]</t>
        </is>
      </c>
      <c r="F147" t="inlineStr">
        <is>
          <t>uti_45</t>
        </is>
      </c>
      <c r="G147" t="inlineStr">
        <is>
          <t>-1156, 414</t>
        </is>
      </c>
      <c r="H147" t="inlineStr">
        <is>
          <t>🔷</t>
        </is>
      </c>
      <c r="I147" t="inlineStr">
        <is>
          <t>+55 Mana max par niveau · max +165 Mana max (3 niveaux, 1 pt/niveau).</t>
        </is>
      </c>
    </row>
    <row r="148">
      <c r="A148" s="5" t="inlineStr">
        <is>
          <t>uti_47</t>
        </is>
      </c>
      <c r="B148" s="5" t="inlineStr">
        <is>
          <t>Bourse 8</t>
        </is>
      </c>
      <c r="C148" s="5" t="n">
        <v>3</v>
      </c>
      <c r="D148" s="5" t="inlineStr">
        <is>
          <t>1,1,1</t>
        </is>
      </c>
      <c r="E148" s="5" t="inlineStr">
        <is>
          <t>gold_drop_percent → [1,2,3]</t>
        </is>
      </c>
      <c r="F148" s="5" t="inlineStr">
        <is>
          <t>uti_46</t>
        </is>
      </c>
      <c r="G148" s="5" t="inlineStr">
        <is>
          <t>-1011, 422</t>
        </is>
      </c>
      <c r="H148" s="5" t="inlineStr">
        <is>
          <t>💰</t>
        </is>
      </c>
      <c r="I148" s="5" t="inlineStr">
        <is>
          <t>+1% d'or gagné par niveau · max +3% d'or gagné (3 niveaux, 1 pt/niveau).</t>
        </is>
      </c>
    </row>
    <row r="149">
      <c r="A149" t="inlineStr">
        <is>
          <t>uti_48</t>
        </is>
      </c>
      <c r="B149" t="inlineStr">
        <is>
          <t>Flux de mana</t>
        </is>
      </c>
      <c r="C149" t="n">
        <v>1</v>
      </c>
      <c r="D149" t="inlineStr">
        <is>
          <t>3</t>
        </is>
      </c>
      <c r="E149" t="inlineStr">
        <is>
          <t>mana_regeneration_flat → [1]</t>
        </is>
      </c>
      <c r="F149" t="inlineStr">
        <is>
          <t>uti_47</t>
        </is>
      </c>
      <c r="G149" t="inlineStr">
        <is>
          <t>-940, 542</t>
        </is>
      </c>
      <c r="H149" t="inlineStr">
        <is>
          <t>🌊</t>
        </is>
      </c>
      <c r="I149" t="inlineStr">
        <is>
          <t>Nœud spécial : +1 Régénération de mana (1 amélioration, 3 pts).</t>
        </is>
      </c>
    </row>
  </sheetData>
  <autoFilter ref="A1:I14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2" customWidth="1" min="2" max="2"/>
    <col width="12" customWidth="1" min="3" max="3"/>
    <col width="12" customWidth="1" min="4" max="4"/>
    <col width="17" customWidth="1" min="5" max="5"/>
    <col width="25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8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9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champion_1v1</t>
        </is>
      </c>
      <c r="B4" s="5" t="inlineStr">
        <is>
          <t>Champion en 1vs1</t>
        </is>
      </c>
      <c r="C4" s="5" t="inlineStr">
        <is>
          <t>👑</t>
        </is>
      </c>
      <c r="D4" s="5" t="inlineStr">
        <is>
          <t>oui</t>
        </is>
      </c>
      <c r="E4" s="5" t="inlineStr">
        <is>
          <t>duel_top1</t>
        </is>
      </c>
      <c r="F4" s="5" t="inlineStr">
        <is>
          <t>—</t>
        </is>
      </c>
      <c r="G4" s="5" t="inlineStr">
        <is>
          <t>champion_all_stats → value=1</t>
        </is>
      </c>
      <c r="H4" s="5" t="inlineStr">
        <is>
          <t>Détenteur du sommet du ladder 1v1. +1% sur toutes vos stats (multiplicatif sur PV/atk/def, additif sur crit/esquive, +1 flat sur vitesse/régen). Perdu dès qu'un autre joueur prend la première place.</t>
        </is>
      </c>
    </row>
    <row r="5">
      <c r="A5" t="inlineStr">
        <is>
          <t>farmer_fou</t>
        </is>
      </c>
      <c r="B5" t="inlineStr">
        <is>
          <t>Le Farmer Fou</t>
        </is>
      </c>
      <c r="C5" t="inlineStr">
        <is>
          <t>🌾</t>
        </is>
      </c>
      <c r="D5" t="inlineStr">
        <is>
          <t>oui</t>
        </is>
      </c>
      <c r="E5" t="inlineStr">
        <is>
          <t>kills_record</t>
        </is>
      </c>
      <c r="F5" t="inlineStr">
        <is>
          <t>—</t>
        </is>
      </c>
      <c r="G5" t="inlineStr">
        <is>
          <t>gold_xp_bonus_pct → value=1</t>
        </is>
      </c>
      <c r="H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6">
      <c r="A6" s="5" t="inlineStr">
        <is>
          <t>bourreau</t>
        </is>
      </c>
      <c r="B6" s="5" t="inlineStr">
        <is>
          <t>Le Bourreau</t>
        </is>
      </c>
      <c r="C6" s="5" t="inlineStr">
        <is>
          <t>🩸</t>
        </is>
      </c>
      <c r="D6" s="5" t="inlineStr">
        <is>
          <t>non</t>
        </is>
      </c>
      <c r="E6" s="5" t="inlineStr">
        <is>
          <t>kills_total</t>
        </is>
      </c>
      <c r="F6" s="5" t="inlineStr">
        <is>
          <t>500</t>
        </is>
      </c>
      <c r="G6" s="5" t="inlineStr">
        <is>
          <t>crit_damage_flat → value=5</t>
        </is>
      </c>
      <c r="H6" s="5" t="inlineStr">
        <is>
          <t>Tueur impitoyable de 500 monstres au total. +5% sur les dégâts critiques (additif sur crit_damage).</t>
        </is>
      </c>
    </row>
    <row r="7">
      <c r="A7" t="inlineStr">
        <is>
          <t>intouchable</t>
        </is>
      </c>
      <c r="B7" t="inlineStr">
        <is>
          <t>L'Intouchable</t>
        </is>
      </c>
      <c r="C7" t="inlineStr">
        <is>
          <t>🌪️</t>
        </is>
      </c>
      <c r="D7" t="inlineStr">
        <is>
          <t>non</t>
        </is>
      </c>
      <c r="E7" t="inlineStr">
        <is>
          <t>dodges_total</t>
        </is>
      </c>
      <c r="F7" t="inlineStr">
        <is>
          <t>100</t>
        </is>
      </c>
      <c r="G7" t="inlineStr">
        <is>
          <t>dodge_flat → value=1</t>
        </is>
      </c>
      <c r="H7" t="inlineStr">
        <is>
          <t>Esquiveur aguerri (100 esquives encaissées en combat de groupe). +1% d'esquive permanent.</t>
        </is>
      </c>
    </row>
    <row r="8">
      <c r="A8" s="5" t="inlineStr">
        <is>
          <t>taverne_addict</t>
        </is>
      </c>
      <c r="B8" s="5" t="inlineStr">
        <is>
          <t>Taverne Addict</t>
        </is>
      </c>
      <c r="C8" s="5" t="inlineStr">
        <is>
          <t>🍺</t>
        </is>
      </c>
      <c r="D8" s="5" t="inlineStr">
        <is>
          <t>non</t>
        </is>
      </c>
      <c r="E8" s="5" t="inlineStr">
        <is>
          <t>daily_streak</t>
        </is>
      </c>
      <c r="F8" s="5" t="inlineStr">
        <is>
          <t>30</t>
        </is>
      </c>
      <c r="G8" s="5" t="inlineStr">
        <is>
          <t>daily_bonus_item → target=potion_soin_i, value=1</t>
        </is>
      </c>
      <c r="H8" s="5" t="inlineStr">
        <is>
          <t>Daily streak de 30 jours. Reçoit en bonus une potion de soin I à chaque /daily (en plus de l'or).</t>
        </is>
      </c>
    </row>
    <row r="9">
      <c r="A9" t="inlineStr">
        <is>
          <t>slime_chasseur_legendaire</t>
        </is>
      </c>
      <c r="B9" t="inlineStr">
        <is>
          <t>Chasseur Légendaire — Slime</t>
        </is>
      </c>
      <c r="C9" t="inlineStr">
        <is>
          <t>🏹</t>
        </is>
      </c>
      <c r="D9" t="inlineStr">
        <is>
          <t>non</t>
        </is>
      </c>
      <c r="E9" t="inlineStr">
        <is>
          <t>kills_mob</t>
        </is>
      </c>
      <c r="F9" t="inlineStr">
        <is>
          <t>slime / 50</t>
        </is>
      </c>
      <c r="G9" t="inlineStr">
        <is>
          <t>drop_rate_bonus_vs_mob → target=slime, value=5</t>
        </is>
      </c>
      <c r="H9" t="inlineStr">
        <is>
          <t>50 slimes tués. +5% drop rate sur les slimes (multiplicatif, préserve la rareté).</t>
        </is>
      </c>
    </row>
    <row r="10">
      <c r="A10" s="5" t="inlineStr">
        <is>
          <t>gobelin_chasseur_legendaire</t>
        </is>
      </c>
      <c r="B10" s="5" t="inlineStr">
        <is>
          <t>Chasseur Légendaire — Gobelin</t>
        </is>
      </c>
      <c r="C10" s="5" t="inlineStr">
        <is>
          <t>🏹</t>
        </is>
      </c>
      <c r="D10" s="5" t="inlineStr">
        <is>
          <t>non</t>
        </is>
      </c>
      <c r="E10" s="5" t="inlineStr">
        <is>
          <t>kills_mob</t>
        </is>
      </c>
      <c r="F10" s="5" t="inlineStr">
        <is>
          <t>gobelin / 50</t>
        </is>
      </c>
      <c r="G10" s="5" t="inlineStr">
        <is>
          <t>drop_rate_bonus_vs_mob → target=gobelin, value=5</t>
        </is>
      </c>
      <c r="H10" s="5" t="inlineStr">
        <is>
          <t>50 gobelins tués. +5% drop rate sur les gobelins.</t>
        </is>
      </c>
    </row>
    <row r="11">
      <c r="A11" t="inlineStr">
        <is>
          <t>gobelin_combattant_chasseur_legendaire</t>
        </is>
      </c>
      <c r="B11" t="inlineStr">
        <is>
          <t>Chasseur Légendaire — Gobelin Combattant</t>
        </is>
      </c>
      <c r="C11" t="inlineStr">
        <is>
          <t>🏹</t>
        </is>
      </c>
      <c r="D11" t="inlineStr">
        <is>
          <t>non</t>
        </is>
      </c>
      <c r="E11" t="inlineStr">
        <is>
          <t>kills_mob</t>
        </is>
      </c>
      <c r="F11" t="inlineStr">
        <is>
          <t>gobelin_combattant / 50</t>
        </is>
      </c>
      <c r="G11" t="inlineStr">
        <is>
          <t>drop_rate_bonus_vs_mob → target=gobelin_combattant, value=5</t>
        </is>
      </c>
      <c r="H11" t="inlineStr">
        <is>
          <t>50 gobelins combattants tués. +5% drop rate sur cette espèce.</t>
        </is>
      </c>
    </row>
    <row r="12">
      <c r="A12" s="5" t="inlineStr">
        <is>
          <t>gobelin_chaman_chasseur_legendaire</t>
        </is>
      </c>
      <c r="B12" s="5" t="inlineStr">
        <is>
          <t>Chasseur Légendaire — Gobelin Chaman</t>
        </is>
      </c>
      <c r="C12" s="5" t="inlineStr">
        <is>
          <t>🏹</t>
        </is>
      </c>
      <c r="D12" s="5" t="inlineStr">
        <is>
          <t>non</t>
        </is>
      </c>
      <c r="E12" s="5" t="inlineStr">
        <is>
          <t>kills_mob</t>
        </is>
      </c>
      <c r="F12" s="5" t="inlineStr">
        <is>
          <t>gobelin_chaman / 50</t>
        </is>
      </c>
      <c r="G12" s="5" t="inlineStr">
        <is>
          <t>drop_rate_bonus_vs_mob → target=gobelin_chaman, value=5</t>
        </is>
      </c>
      <c r="H12" s="5" t="inlineStr">
        <is>
          <t>50 gobelins chamans tués. +5% drop rate sur cette espèce.</t>
        </is>
      </c>
    </row>
    <row r="13">
      <c r="A13" t="inlineStr">
        <is>
          <t>gobelin_geant_chasseur_legendaire</t>
        </is>
      </c>
      <c r="B13" t="inlineStr">
        <is>
          <t>Chasseur Légendaire — Gobelin Géant</t>
        </is>
      </c>
      <c r="C13" t="inlineStr">
        <is>
          <t>🏹</t>
        </is>
      </c>
      <c r="D13" t="inlineStr">
        <is>
          <t>non</t>
        </is>
      </c>
      <c r="E13" t="inlineStr">
        <is>
          <t>kills_mob</t>
        </is>
      </c>
      <c r="F13" t="inlineStr">
        <is>
          <t>gobelin_geant / 50</t>
        </is>
      </c>
      <c r="G13" t="inlineStr">
        <is>
          <t>drop_rate_bonus_vs_mob → target=gobelin_geant, value=5</t>
        </is>
      </c>
      <c r="H13" t="inlineStr">
        <is>
          <t>50 gobelins géants tués. +5% drop rate sur cette espèce.</t>
        </is>
      </c>
    </row>
    <row r="14">
      <c r="A14" s="5" t="inlineStr">
        <is>
          <t>gobelin_runique_chasseur_legendaire</t>
        </is>
      </c>
      <c r="B14" s="5" t="inlineStr">
        <is>
          <t>Chasseur Légendaire — Gobelin Runique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gobelin_runique / 50</t>
        </is>
      </c>
      <c r="G14" s="5" t="inlineStr">
        <is>
          <t>drop_rate_bonus_vs_mob → target=gobelin_runique, value=5</t>
        </is>
      </c>
      <c r="H14" s="5" t="inlineStr">
        <is>
          <t>50 gobelins runiques tués. +5% drop rate sur cette espèce.</t>
        </is>
      </c>
    </row>
    <row r="15">
      <c r="A15" t="inlineStr">
        <is>
          <t>gobelin_ballon_chasseur_legendaire</t>
        </is>
      </c>
      <c r="B15" t="inlineStr">
        <is>
          <t>Chasseur Légendaire — Gobelin Ballon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gobelin_ballon / 50</t>
        </is>
      </c>
      <c r="G15" t="inlineStr">
        <is>
          <t>drop_rate_bonus_vs_mob → target=gobelin_ballon, value=5</t>
        </is>
      </c>
      <c r="H15" t="inlineStr">
        <is>
          <t>50 gobelins ballons tués. +5% drop rate sur cette espèce.</t>
        </is>
      </c>
    </row>
    <row r="16">
      <c r="A16" s="5" t="inlineStr">
        <is>
          <t>gobelin_assassin_chasseur_legendaire</t>
        </is>
      </c>
      <c r="B16" s="5" t="inlineStr">
        <is>
          <t>Chasseur Légendaire — Gobelin Assassin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gobelin_assassin / 50</t>
        </is>
      </c>
      <c r="G16" s="5" t="inlineStr">
        <is>
          <t>drop_rate_bonus_vs_mob → target=gobelin_assassin, value=5</t>
        </is>
      </c>
      <c r="H16" s="5" t="inlineStr">
        <is>
          <t>50 gobelins assassins tués. +5% drop rate sur cette espèce.</t>
        </is>
      </c>
    </row>
    <row r="17">
      <c r="A17" t="inlineStr">
        <is>
          <t>gobelin_superieur_chasseur_legendaire</t>
        </is>
      </c>
      <c r="B17" t="inlineStr">
        <is>
          <t>Chasseur Légendaire — Gobelin Supérieur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gobelin_superieur / 50</t>
        </is>
      </c>
      <c r="G17" t="inlineStr">
        <is>
          <t>drop_rate_bonus_vs_mob → target=gobelin_superieur, value=5</t>
        </is>
      </c>
      <c r="H17" t="inlineStr">
        <is>
          <t>50 gobelins supérieurs tués. +5% drop rate sur cette espèce.</t>
        </is>
      </c>
    </row>
    <row r="18">
      <c r="A18" s="5" t="inlineStr">
        <is>
          <t>mvp_world_boss</t>
        </is>
      </c>
      <c r="B18" s="5" t="inlineStr">
        <is>
          <t>MVP des World Boss</t>
        </is>
      </c>
      <c r="C18" s="5" t="inlineStr">
        <is>
          <t>🏆</t>
        </is>
      </c>
      <c r="D18" s="5" t="inlineStr">
        <is>
          <t>oui</t>
        </is>
      </c>
      <c r="E18" s="5" t="inlineStr">
        <is>
          <t>world_boss_mvp</t>
        </is>
      </c>
      <c r="F18" s="5" t="inlineStr">
        <is>
          <t>1</t>
        </is>
      </c>
      <c r="G18" s="5" t="inlineStr">
        <is>
          <t>champion_all_stats → value=2</t>
        </is>
      </c>
      <c r="H18" s="5" t="inlineStr">
        <is>
          <t>Meilleur contributeur du dernier world boss vaincu. +2% sur toutes vos stats. Transmis au MVP du prochain boss.</t>
        </is>
      </c>
    </row>
    <row r="19">
      <c r="A19" t="inlineStr">
        <is>
          <t>tueur_slime_titan</t>
        </is>
      </c>
      <c r="B19" t="inlineStr">
        <is>
          <t>Tueur du Titan Visqueux</t>
        </is>
      </c>
      <c r="C19" t="inlineStr">
        <is>
          <t>⚔️</t>
        </is>
      </c>
      <c r="D19" t="inlineStr">
        <is>
          <t>non</t>
        </is>
      </c>
      <c r="E19" t="inlineStr">
        <is>
          <t>world_boss_kill</t>
        </is>
      </c>
      <c r="F19" t="inlineStr">
        <is>
          <t>slime_titan / 1</t>
        </is>
      </c>
      <c r="G19" t="inlineStr">
        <is>
          <t>crit_damage_flat → value=3</t>
        </is>
      </c>
      <c r="H19" t="inlineStr">
        <is>
          <t>A participé à la victoire contre Titan Visqueux. +3 dégâts critiques.</t>
        </is>
      </c>
    </row>
    <row r="20">
      <c r="A20" s="5" t="inlineStr">
        <is>
          <t>tueur_gobelin_warlord</t>
        </is>
      </c>
      <c r="B20" s="5" t="inlineStr">
        <is>
          <t>Tueur du Seigneur de Guerre Gobelin</t>
        </is>
      </c>
      <c r="C20" s="5" t="inlineStr">
        <is>
          <t>⚔️</t>
        </is>
      </c>
      <c r="D20" s="5" t="inlineStr">
        <is>
          <t>non</t>
        </is>
      </c>
      <c r="E20" s="5" t="inlineStr">
        <is>
          <t>world_boss_kill</t>
        </is>
      </c>
      <c r="F20" s="5" t="inlineStr">
        <is>
          <t>gobelin_warlord / 1</t>
        </is>
      </c>
      <c r="G20" s="5" t="inlineStr">
        <is>
          <t>crit_damage_flat → value=3</t>
        </is>
      </c>
      <c r="H20" s="5" t="inlineStr">
        <is>
          <t>A participé à la victoire contre Seigneur de Guerre Gobelin. +3 dégâts critiques.</t>
        </is>
      </c>
    </row>
    <row r="21">
      <c r="A21" t="inlineStr">
        <is>
          <t>tueur_stone_colossus</t>
        </is>
      </c>
      <c r="B21" t="inlineStr">
        <is>
          <t>Tueur du Colosse de Pierre</t>
        </is>
      </c>
      <c r="C21" t="inlineStr">
        <is>
          <t>⚔️</t>
        </is>
      </c>
      <c r="D21" t="inlineStr">
        <is>
          <t>non</t>
        </is>
      </c>
      <c r="E21" t="inlineStr">
        <is>
          <t>world_boss_kill</t>
        </is>
      </c>
      <c r="F21" t="inlineStr">
        <is>
          <t>stone_colossus / 1</t>
        </is>
      </c>
      <c r="G21" t="inlineStr">
        <is>
          <t>crit_damage_flat → value=3</t>
        </is>
      </c>
      <c r="H21" t="inlineStr">
        <is>
          <t>A participé à la victoire contre Colosse de Pierre. +3 dégâts critiques.</t>
        </is>
      </c>
    </row>
    <row r="22">
      <c r="A22" s="5" t="inlineStr">
        <is>
          <t>tueur_shadow_wraith</t>
        </is>
      </c>
      <c r="B22" s="5" t="inlineStr">
        <is>
          <t>Tueur du Spectre des Ténèbres</t>
        </is>
      </c>
      <c r="C22" s="5" t="inlineStr">
        <is>
          <t>⚔️</t>
        </is>
      </c>
      <c r="D22" s="5" t="inlineStr">
        <is>
          <t>non</t>
        </is>
      </c>
      <c r="E22" s="5" t="inlineStr">
        <is>
          <t>world_boss_kill</t>
        </is>
      </c>
      <c r="F22" s="5" t="inlineStr">
        <is>
          <t>shadow_wraith / 1</t>
        </is>
      </c>
      <c r="G22" s="5" t="inlineStr">
        <is>
          <t>crit_damage_flat → value=3</t>
        </is>
      </c>
      <c r="H22" s="5" t="inlineStr">
        <is>
          <t>A participé à la victoire contre Spectre des Ténèbres. +3 dégâts critiques.</t>
        </is>
      </c>
    </row>
    <row r="23">
      <c r="A23" t="inlineStr">
        <is>
          <t>tueur_ancient_dragon</t>
        </is>
      </c>
      <c r="B23" t="inlineStr">
        <is>
          <t>Tueur du Dragon Ancestral</t>
        </is>
      </c>
      <c r="C23" t="inlineStr">
        <is>
          <t>⚔️</t>
        </is>
      </c>
      <c r="D23" t="inlineStr">
        <is>
          <t>non</t>
        </is>
      </c>
      <c r="E23" t="inlineStr">
        <is>
          <t>world_boss_kill</t>
        </is>
      </c>
      <c r="F23" t="inlineStr">
        <is>
          <t>ancient_dragon / 1</t>
        </is>
      </c>
      <c r="G23" t="inlineStr">
        <is>
          <t>crit_damage_flat → value=3</t>
        </is>
      </c>
      <c r="H23" t="inlineStr">
        <is>
          <t>A participé à la victoire contre Dragon Ancestral. +3 dégâts critiques.</t>
        </is>
      </c>
    </row>
  </sheetData>
  <autoFilter ref="A1:H2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7" customWidth="1" min="4" max="4"/>
    <col width="48" customWidth="1" min="5" max="5"/>
    <col width="25" customWidth="1" min="6" max="6"/>
    <col width="26" customWidth="1" min="7" max="7"/>
    <col width="26" customWidth="1" min="8" max="8"/>
    <col width="26" customWidth="1" min="9" max="9"/>
  </cols>
  <sheetData>
    <row r="1" ht="22" customHeight="1">
      <c r="A1" s="3" t="inlineStr">
        <is>
          <t>Code famille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Items existants</t>
        </is>
      </c>
      <c r="E1" s="3" t="inlineStr">
        <is>
          <t>Description</t>
        </is>
      </c>
      <c r="F1" s="3" t="inlineStr">
        <is>
          <t>Palier 2</t>
        </is>
      </c>
      <c r="G1" s="3" t="inlineStr">
        <is>
          <t>Palier 4</t>
        </is>
      </c>
      <c r="H1" s="3" t="inlineStr">
        <is>
          <t>Palier 8</t>
        </is>
      </c>
      <c r="I1" s="3" t="inlineStr">
        <is>
          <t>Palier 12</t>
        </is>
      </c>
    </row>
    <row r="2">
      <c r="A2" s="5" t="inlineStr">
        <is>
          <t>iron</t>
        </is>
      </c>
      <c r="B2" s="5" t="inlineStr">
        <is>
          <t>Fer</t>
        </is>
      </c>
      <c r="C2" s="5" t="inlineStr">
        <is>
          <t>🛡️</t>
        </is>
      </c>
      <c r="D2" s="5" t="n">
        <v>16</v>
      </c>
      <c r="E2" s="5" t="inlineStr">
        <is>
          <t>Armure lourde et fiable, taillée pour encaisser.</t>
        </is>
      </c>
      <c r="F2" s="5" t="inlineStr">
        <is>
          <t>defense_flat +1</t>
        </is>
      </c>
      <c r="G2" s="5" t="inlineStr">
        <is>
          <t>defense_flat +3</t>
        </is>
      </c>
      <c r="H2" s="5" t="inlineStr">
        <is>
          <t>defense_flat +5</t>
        </is>
      </c>
      <c r="I2" s="5" t="inlineStr">
        <is>
          <t>defense_flat +7</t>
        </is>
      </c>
    </row>
    <row r="3">
      <c r="A3" t="inlineStr">
        <is>
          <t>leather</t>
        </is>
      </c>
      <c r="B3" t="inlineStr">
        <is>
          <t>Cuir</t>
        </is>
      </c>
      <c r="C3" t="inlineStr">
        <is>
          <t>🟫</t>
        </is>
      </c>
      <c r="D3" t="n">
        <v>16</v>
      </c>
      <c r="E3" t="inlineStr">
        <is>
          <t>Souple et légère, favorise l'esquive.</t>
        </is>
      </c>
      <c r="F3" t="inlineStr">
        <is>
          <t>dodge_flat +1</t>
        </is>
      </c>
      <c r="G3" t="inlineStr">
        <is>
          <t>dodge_flat +2</t>
        </is>
      </c>
      <c r="H3" t="inlineStr">
        <is>
          <t>dodge_flat +4</t>
        </is>
      </c>
      <c r="I3" t="inlineStr">
        <is>
          <t>dodge_flat +6</t>
        </is>
      </c>
    </row>
    <row r="4">
      <c r="A4" s="5" t="inlineStr">
        <is>
          <t>slime</t>
        </is>
      </c>
      <c r="B4" s="5" t="inlineStr">
        <is>
          <t>Slime</t>
        </is>
      </c>
      <c r="C4" s="5" t="inlineStr">
        <is>
          <t>🟢</t>
        </is>
      </c>
      <c r="D4" s="5" t="n">
        <v>16</v>
      </c>
      <c r="E4" s="5" t="inlineStr">
        <is>
          <t>Imprégnée de gelée régénératrice.</t>
        </is>
      </c>
      <c r="F4" s="5" t="inlineStr">
        <is>
          <t>hp_regeneration_flat +4</t>
        </is>
      </c>
      <c r="G4" s="5" t="inlineStr">
        <is>
          <t>hp_regeneration_flat +8</t>
        </is>
      </c>
      <c r="H4" s="5" t="inlineStr">
        <is>
          <t>hp_regeneration_flat +13</t>
        </is>
      </c>
      <c r="I4" s="5" t="inlineStr">
        <is>
          <t>hp_regeneration_flat +18</t>
        </is>
      </c>
    </row>
    <row r="5">
      <c r="A5" t="inlineStr">
        <is>
          <t>gobelin</t>
        </is>
      </c>
      <c r="B5" t="inlineStr">
        <is>
          <t>Gobeline</t>
        </is>
      </c>
      <c r="C5" t="inlineStr">
        <is>
          <t>👹</t>
        </is>
      </c>
      <c r="D5" t="n">
        <v>16</v>
      </c>
      <c r="E5" t="inlineStr">
        <is>
          <t>Fourbe et vicieuse : frappe critique accrue.</t>
        </is>
      </c>
      <c r="F5" t="inlineStr">
        <is>
          <t>crit_chance_flat +1</t>
        </is>
      </c>
      <c r="G5" t="inlineStr">
        <is>
          <t>crit_chance_flat +2</t>
        </is>
      </c>
      <c r="H5" t="inlineStr">
        <is>
          <t>crit_chance_flat +3</t>
        </is>
      </c>
      <c r="I5" t="inlineStr">
        <is>
          <t>crit_chance_flat +4</t>
        </is>
      </c>
    </row>
    <row r="6">
      <c r="A6" s="5" t="inlineStr">
        <is>
          <t>linen</t>
        </is>
      </c>
      <c r="B6" s="5" t="inlineStr">
        <is>
          <t>Lin</t>
        </is>
      </c>
      <c r="C6" s="5" t="inlineStr">
        <is>
          <t>⬜</t>
        </is>
      </c>
      <c r="D6" s="5" t="n">
        <v>16</v>
      </c>
      <c r="E6" s="5" t="inlineStr">
        <is>
          <t>Tissée pour amplifier les coups critiques.</t>
        </is>
      </c>
      <c r="F6" s="5" t="inlineStr">
        <is>
          <t>crit_damage_flat +3</t>
        </is>
      </c>
      <c r="G6" s="5" t="inlineStr">
        <is>
          <t>crit_damage_flat +6</t>
        </is>
      </c>
      <c r="H6" s="5" t="inlineStr">
        <is>
          <t>crit_damage_flat +9</t>
        </is>
      </c>
      <c r="I6" s="5" t="inlineStr">
        <is>
          <t>crit_damage_flat +14</t>
        </is>
      </c>
    </row>
    <row r="7">
      <c r="A7" t="inlineStr">
        <is>
          <t>gobelin_plus</t>
        </is>
      </c>
      <c r="B7" t="inlineStr">
        <is>
          <t>Gobeline +</t>
        </is>
      </c>
      <c r="C7" t="inlineStr">
        <is>
          <t>👹</t>
        </is>
      </c>
      <c r="D7" t="n">
        <v>16</v>
      </c>
      <c r="E7" t="inlineStr">
        <is>
          <t>Fourbe et vicieuse : frappe critique accrue. Version infusée.</t>
        </is>
      </c>
      <c r="F7" t="inlineStr">
        <is>
          <t>crit_chance_flat +2</t>
        </is>
      </c>
      <c r="G7" t="inlineStr">
        <is>
          <t>crit_chance_flat +3</t>
        </is>
      </c>
      <c r="H7" t="inlineStr">
        <is>
          <t>crit_chance_flat +5</t>
        </is>
      </c>
      <c r="I7" t="inlineStr">
        <is>
          <t>crit_chance_flat +6</t>
        </is>
      </c>
    </row>
    <row r="8">
      <c r="A8" s="5" t="inlineStr">
        <is>
          <t>slime_plus</t>
        </is>
      </c>
      <c r="B8" s="5" t="inlineStr">
        <is>
          <t>Slime +</t>
        </is>
      </c>
      <c r="C8" s="5" t="inlineStr">
        <is>
          <t>🟢</t>
        </is>
      </c>
      <c r="D8" s="5" t="n">
        <v>16</v>
      </c>
      <c r="E8" s="5" t="inlineStr">
        <is>
          <t>Imprégnée de gelée régénératrice. Version infusée.</t>
        </is>
      </c>
      <c r="F8" s="5" t="inlineStr">
        <is>
          <t>hp_regeneration_flat +6</t>
        </is>
      </c>
      <c r="G8" s="5" t="inlineStr">
        <is>
          <t>hp_regeneration_flat +12</t>
        </is>
      </c>
      <c r="H8" s="5" t="inlineStr">
        <is>
          <t>hp_regeneration_flat +19</t>
        </is>
      </c>
      <c r="I8" s="5" t="inlineStr">
        <is>
          <t>hp_regeneration_flat +26</t>
        </is>
      </c>
    </row>
  </sheetData>
  <autoFilter ref="A1:I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50000</v>
      </c>
      <c r="E2" s="5" t="n">
        <v>50</v>
      </c>
      <c r="F2" s="5" t="n">
        <v>20</v>
      </c>
      <c r="G2" s="5" t="n">
        <v>8</v>
      </c>
      <c r="H2" s="5" t="n">
        <v>0</v>
      </c>
      <c r="I2" s="5" t="n">
        <v>100</v>
      </c>
      <c r="J2" s="5" t="n">
        <v>0</v>
      </c>
      <c r="K2" s="8" t="inlineStr">
        <is>
          <t>damage_immunity_threshold = 5
auto_heal_per_turn = 50</t>
        </is>
      </c>
      <c r="L2" s="5" t="n">
        <v>100</v>
      </c>
      <c r="M2" s="5" t="inlineStr">
        <is>
          <t>Un slime ancestral devenu colosse, sa masse étouffante absorbe les coups les plus faibles et se régénère lentement.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200000</v>
      </c>
      <c r="E3" t="n">
        <v>200</v>
      </c>
      <c r="F3" t="n">
        <v>100</v>
      </c>
      <c r="G3" t="n">
        <v>12</v>
      </c>
      <c r="H3" t="n">
        <v>5</v>
      </c>
      <c r="I3" t="n">
        <v>130</v>
      </c>
      <c r="J3" t="n">
        <v>5</v>
      </c>
      <c r="K3" s="9" t="inlineStr">
        <is>
          <t>enrage_below_pct = 30
enrage_attack_multiplier = 1.5
adds = {'attack': 80, 'summon_turn_interval': 4, 'max_active': 3}</t>
        </is>
      </c>
      <c r="L3" t="n">
        <v>60</v>
      </c>
      <c r="M3" t="inlineStr">
        <is>
          <t>Le chef d'une horde sanguinaire. Plus il est blessé, plus sa rage l'amplifie, et il appelle des renforts.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500000</v>
      </c>
      <c r="E4" s="5" t="n">
        <v>300</v>
      </c>
      <c r="F4" s="5" t="n">
        <v>400</v>
      </c>
      <c r="G4" s="5" t="n">
        <v>5</v>
      </c>
      <c r="H4" s="5" t="n">
        <v>0</v>
      </c>
      <c r="I4" s="5" t="n">
        <v>100</v>
      </c>
      <c r="J4" s="5" t="n">
        <v>0</v>
      </c>
      <c r="K4" s="8" t="inlineStr">
        <is>
          <t>damage_immunity_threshold = 50
reflect_pct = 15</t>
        </is>
      </c>
      <c r="L4" s="5" t="n">
        <v>30</v>
      </c>
      <c r="M4" s="5" t="inlineStr">
        <is>
          <t>Une statue runique animée par d'antiques magies. Inébranlable face aux frappes faibles, sa carapace renvoie une part des coups.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800000</v>
      </c>
      <c r="E5" t="n">
        <v>500</v>
      </c>
      <c r="F5" t="n">
        <v>150</v>
      </c>
      <c r="G5" t="n">
        <v>18</v>
      </c>
      <c r="H5" t="n">
        <v>10</v>
      </c>
      <c r="I5" t="n">
        <v>150</v>
      </c>
      <c r="J5" t="n">
        <v>30</v>
      </c>
      <c r="K5" s="9" t="inlineStr">
        <is>
          <t>crit_immunity = True
phases = [{'below_pct': 50, 'attack_multiplier': 1.3}, {'below_pct': 20, 'attack_multiplier': 1.6}]</t>
        </is>
      </c>
      <c r="L5" t="n">
        <v>15</v>
      </c>
      <c r="M5" t="inlineStr">
        <is>
          <t>Une entité incorporelle qui glisse entre les coups. Les coups critiques traversent sa forme étherée, et il mute en s'affaiblissant.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2000000</v>
      </c>
      <c r="E6" s="5" t="n">
        <v>800</v>
      </c>
      <c r="F6" s="5" t="n">
        <v>300</v>
      </c>
      <c r="G6" s="5" t="n">
        <v>15</v>
      </c>
      <c r="H6" s="5" t="n">
        <v>25</v>
      </c>
      <c r="I6" s="5" t="n">
        <v>200</v>
      </c>
      <c r="J6" s="5" t="n">
        <v>10</v>
      </c>
      <c r="K6" s="8" t="inlineStr">
        <is>
          <t>damage_immunity_threshold = 100
enrage_below_pct = 25
enrage_attack_multiplier = 1.8
auto_heal_per_turn = 2000
reflect_pct = 20
adds = {'attack': 250, 'summon_turn_interval': 5, 'max_active': 2}
phases = [{'below_pct': 50, 'attack_multiplier': 1.25}]</t>
        </is>
      </c>
      <c r="L6" s="5" t="n">
        <v>5</v>
      </c>
      <c r="M6" s="5" t="inlineStr">
        <is>
          <t>Le sommet de l'évolution. Inflige des coups dévastateurs, renvoie les frappes, invoque des drakelings, se régénère et entre en rage à la fin.</t>
        </is>
      </c>
    </row>
  </sheetData>
  <autoFilter ref="A1:M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10" t="inlineStr">
        <is>
          <t>⚙️ Calibrage du score de puissance — NE PAS supprimer (formules liées)</t>
        </is>
      </c>
      <c r="D1" s="11" t="inlineStr">
        <is>
          <t>Score ≥</t>
        </is>
      </c>
      <c r="E1" s="11" t="inlineStr">
        <is>
          <t>Rang</t>
        </is>
      </c>
    </row>
    <row r="2">
      <c r="A2" s="12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2" t="inlineStr">
        <is>
          <t>Base DEF</t>
        </is>
      </c>
      <c r="B3" t="n">
        <v>5</v>
      </c>
      <c r="D3" t="n">
        <v>310</v>
      </c>
      <c r="E3" t="inlineStr">
        <is>
          <t>F</t>
        </is>
      </c>
    </row>
    <row r="4">
      <c r="A4" s="12" t="inlineStr">
        <is>
          <t>Base PV</t>
        </is>
      </c>
      <c r="B4" t="n">
        <v>100</v>
      </c>
      <c r="D4" t="n">
        <v>525</v>
      </c>
      <c r="E4" t="inlineStr">
        <is>
          <t>F+</t>
        </is>
      </c>
    </row>
    <row r="5">
      <c r="A5" s="12" t="inlineStr">
        <is>
          <t>Base Crit %</t>
        </is>
      </c>
      <c r="B5" t="n">
        <v>5</v>
      </c>
      <c r="D5" t="n">
        <v>800</v>
      </c>
      <c r="E5" t="inlineStr">
        <is>
          <t>E-</t>
        </is>
      </c>
    </row>
    <row r="6">
      <c r="A6" s="12" t="inlineStr">
        <is>
          <t>Base Crit dmg (100 = neutre)</t>
        </is>
      </c>
      <c r="B6" t="n">
        <v>150</v>
      </c>
      <c r="D6" t="n">
        <v>1125</v>
      </c>
      <c r="E6" t="inlineStr">
        <is>
          <t>E</t>
        </is>
      </c>
    </row>
    <row r="7">
      <c r="A7" s="12" t="inlineStr">
        <is>
          <t>Base Esquive %</t>
        </is>
      </c>
      <c r="B7" t="n">
        <v>0</v>
      </c>
      <c r="D7" t="n">
        <v>1510</v>
      </c>
      <c r="E7" t="inlineStr">
        <is>
          <t>E+</t>
        </is>
      </c>
    </row>
    <row r="8">
      <c r="A8" s="12" t="inlineStr">
        <is>
          <t>Base Vitesse</t>
        </is>
      </c>
      <c r="B8" t="n">
        <v>5</v>
      </c>
      <c r="D8" t="n">
        <v>1950</v>
      </c>
      <c r="E8" t="inlineStr">
        <is>
          <t>D-</t>
        </is>
      </c>
    </row>
    <row r="9">
      <c r="A9" s="12" t="inlineStr">
        <is>
          <t>K_DEF (1 DEF = N PV effectifs)</t>
        </is>
      </c>
      <c r="B9" t="n">
        <v>25</v>
      </c>
      <c r="D9" t="n">
        <v>2450</v>
      </c>
      <c r="E9" t="inlineStr">
        <is>
          <t>D</t>
        </is>
      </c>
    </row>
    <row r="10">
      <c r="A10" s="12" t="inlineStr">
        <is>
          <t>SCALE (diviseur)</t>
        </is>
      </c>
      <c r="B10" t="n">
        <v>42</v>
      </c>
      <c r="D10" t="n">
        <v>3000</v>
      </c>
      <c r="E10" t="inlineStr">
        <is>
          <t>D+</t>
        </is>
      </c>
    </row>
    <row r="11">
      <c r="A11" s="12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3600</v>
      </c>
      <c r="E11" t="inlineStr">
        <is>
          <t>C-</t>
        </is>
      </c>
    </row>
    <row r="12">
      <c r="D12" t="n">
        <v>4300</v>
      </c>
      <c r="E12" t="inlineStr">
        <is>
          <t>C</t>
        </is>
      </c>
    </row>
    <row r="13">
      <c r="D13" t="n">
        <v>5000</v>
      </c>
      <c r="E13" t="inlineStr">
        <is>
          <t>C+</t>
        </is>
      </c>
    </row>
    <row r="14">
      <c r="D14" t="n">
        <v>5800</v>
      </c>
      <c r="E14" t="inlineStr">
        <is>
          <t>B-</t>
        </is>
      </c>
    </row>
    <row r="15">
      <c r="D15" t="n">
        <v>6600</v>
      </c>
      <c r="E15" t="inlineStr">
        <is>
          <t>B</t>
        </is>
      </c>
    </row>
    <row r="16">
      <c r="D16" t="n">
        <v>7500</v>
      </c>
      <c r="E16" t="inlineStr">
        <is>
          <t>B+</t>
        </is>
      </c>
    </row>
    <row r="17">
      <c r="D17" t="n">
        <v>8500</v>
      </c>
      <c r="E17" t="inlineStr">
        <is>
          <t>A-</t>
        </is>
      </c>
    </row>
    <row r="18">
      <c r="D18" t="n">
        <v>9500</v>
      </c>
      <c r="E18" t="inlineStr">
        <is>
          <t>A</t>
        </is>
      </c>
    </row>
    <row r="19">
      <c r="D19" t="n">
        <v>10500</v>
      </c>
      <c r="E19" t="inlineStr">
        <is>
          <t>A+</t>
        </is>
      </c>
    </row>
    <row r="20">
      <c r="D20" t="n">
        <v>11650</v>
      </c>
      <c r="E20" t="inlineStr">
        <is>
          <t>S-</t>
        </is>
      </c>
    </row>
    <row r="21">
      <c r="D21" t="n">
        <v>12600</v>
      </c>
      <c r="E21" t="inlineStr">
        <is>
          <t>S</t>
        </is>
      </c>
    </row>
    <row r="22">
      <c r="D22" t="n">
        <v>13600</v>
      </c>
      <c r="E22" t="inlineStr">
        <is>
          <t>S+</t>
        </is>
      </c>
    </row>
    <row r="23">
      <c r="D23" t="n">
        <v>21700</v>
      </c>
      <c r="E23" t="inlineStr">
        <is>
          <t>SS-</t>
        </is>
      </c>
    </row>
    <row r="24">
      <c r="D24" t="n">
        <v>36000</v>
      </c>
      <c r="E24" t="inlineStr">
        <is>
          <t>SS</t>
        </is>
      </c>
    </row>
    <row r="25">
      <c r="D25" t="n">
        <v>64000</v>
      </c>
      <c r="E25" t="inlineStr">
        <is>
          <t>SS+</t>
        </is>
      </c>
    </row>
    <row r="26">
      <c r="D26" t="n">
        <v>130000</v>
      </c>
      <c r="E26" t="inlineStr">
        <is>
          <t>SSS-</t>
        </is>
      </c>
    </row>
    <row r="27">
      <c r="D27" t="n">
        <v>292000</v>
      </c>
      <c r="E27" t="inlineStr">
        <is>
          <t>SSS</t>
        </is>
      </c>
    </row>
    <row r="28">
      <c r="D28" t="n">
        <v>650000</v>
      </c>
      <c r="E28" t="inlineStr">
        <is>
          <t>SSS+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2026-07-12T15:44:06Z</dcterms:created>
  <dcterms:modified xsi:type="dcterms:W3CDTF">2026-07-12T15:44:06Z</dcterms:modified>
</cp:coreProperties>
</file>